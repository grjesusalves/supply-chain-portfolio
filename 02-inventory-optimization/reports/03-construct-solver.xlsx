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ple_FOODS_3_090" sheetId="1" state="visible" r:id="rId1"/>
    <sheet xmlns:r="http://schemas.openxmlformats.org/officeDocument/2006/relationships" name="Notes" sheetId="2" state="visible" r:id="rId2"/>
    <sheet xmlns:r="http://schemas.openxmlformats.org/officeDocument/2006/relationships" name="Example_search" sheetId="3" state="visible" r:id="rId3"/>
    <sheet xmlns:r="http://schemas.openxmlformats.org/officeDocument/2006/relationships" name="Class_A" sheetId="4" state="visible" r:id="rId4"/>
  </sheets>
  <definedNames>
    <definedName name="SafetyStock">Example_FOODS_3_090!$B$8</definedName>
    <definedName name="AvgOnHand">Example_FOODS_3_090!$B$11</definedName>
    <definedName name="FillRate">Example_FOODS_3_090!$B$14</definedName>
    <definedName name="OrderQty">Example_FOODS_3_090!$B$7</definedName>
    <definedName name="ReorderPoint">Example_FOODS_3_090!$B$9</definedName>
    <definedName name="_xlnm._FilterDatabase" localSheetId="0" hidden="1">'Example_FOODS_3_090'!$A$20:$W$48</definedName>
    <definedName name="_xlnm._FilterDatabase" localSheetId="2" hidden="1">'Example_search'!$A$7:$H$2653</definedName>
    <definedName name="_xlnm._FilterDatabase" localSheetId="3" hidden="1">'Class_A'!$A$18:$P$576</definedName>
  </definedNames>
  <calcPr calcId="124519" calcMode="auto" fullCalcOnLoad="1"/>
</workbook>
</file>

<file path=xl/styles.xml><?xml version="1.0" encoding="utf-8"?>
<styleSheet xmlns="http://schemas.openxmlformats.org/spreadsheetml/2006/main">
  <numFmts count="4">
    <numFmt numFmtId="164" formatCode="yyyy-mm-dd"/>
    <numFmt numFmtId="165" formatCode="YYYY-MM-DD"/>
    <numFmt numFmtId="166" formatCode="0.000000"/>
    <numFmt numFmtId="167" formatCode="0.00000000"/>
  </numFmts>
  <fonts count="5">
    <font>
      <name val="Calibri"/>
      <family val="2"/>
      <color theme="1"/>
      <sz val="11"/>
      <scheme val="minor"/>
    </font>
    <font>
      <b val="1"/>
      <sz val="14"/>
    </font>
    <font>
      <b val="1"/>
    </font>
    <font>
      <i val="1"/>
    </font>
    <font>
      <b val="1"/>
      <color rgb="00FFFFFF"/>
    </font>
  </fonts>
  <fills count="6">
    <fill>
      <patternFill/>
    </fill>
    <fill>
      <patternFill patternType="gray125"/>
    </fill>
    <fill>
      <patternFill patternType="solid">
        <fgColor rgb="00FFF2CC"/>
      </patternFill>
    </fill>
    <fill>
      <patternFill patternType="solid">
        <fgColor rgb="00E2EFDA"/>
      </patternFill>
    </fill>
    <fill>
      <patternFill patternType="solid">
        <fgColor rgb="00FCE4D6"/>
      </patternFill>
    </fill>
    <fill>
      <patternFill patternType="solid">
        <fgColor rgb="000B3A6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166" fontId="0" fillId="0" borderId="0" pivotButton="0" quotePrefix="0" xfId="0"/>
    <xf numFmtId="0" fontId="2" fillId="2" borderId="0" pivotButton="0" quotePrefix="0" xfId="0"/>
    <xf numFmtId="166" fontId="2" fillId="3" borderId="0" pivotButton="0" quotePrefix="0" xfId="0"/>
    <xf numFmtId="166" fontId="2" fillId="4" borderId="0" pivotButton="0" quotePrefix="0" xfId="0"/>
    <xf numFmtId="0" fontId="0" fillId="4" borderId="0" pivotButton="0" quotePrefix="0" xfId="0"/>
    <xf numFmtId="2" fontId="0" fillId="0" borderId="0" pivotButton="0" quotePrefix="0" xfId="0"/>
    <xf numFmtId="167" fontId="0" fillId="0" borderId="0" pivotButton="0" quotePrefix="0" xfId="0"/>
    <xf numFmtId="0" fontId="4" fillId="5" borderId="0" applyAlignment="1" pivotButton="0" quotePrefix="0" xfId="0">
      <alignment vertical="center" wrapText="1"/>
    </xf>
    <xf numFmtId="165" fontId="0" fillId="0" borderId="0" pivotButton="0" quotePrefix="0" xfId="0"/>
    <xf numFmtId="0" fontId="4" fillId="5" borderId="0" pivotButton="0" quotePrefix="0" xfId="0"/>
    <xf numFmtId="0" fontId="0" fillId="2" borderId="0" pivotButton="0" quotePrefix="0" xfId="0"/>
    <xf numFmtId="166" fontId="0" fillId="4" borderId="0" pivotButton="0" quotePrefix="0" xfId="0"/>
    <xf numFmtId="166"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Construct</author>
  </authors>
  <commentList>
    <comment ref="B8" authorId="0" shapeId="0">
      <text>
        <t>Decision variable. Integer &gt;= 0. Do not hand this to GRG Nonlinear.</t>
      </text>
    </comment>
    <comment ref="B11" authorId="0" shapeId="0">
      <text>
        <t>Objective. Minimize average on-hand in units.</t>
      </text>
    </comment>
    <comment ref="B14" authorId="0" shapeId="0">
      <text>
        <t>Constraint. Units short / units demanded &lt; 0.05.</t>
      </text>
    </comment>
  </commentList>
</comments>
</file>

<file path=xl/comments/comment2.xml><?xml version="1.0" encoding="utf-8"?>
<comments xmlns="http://schemas.openxmlformats.org/spreadsheetml/2006/main">
  <authors>
    <author>Construct</author>
  </authors>
  <commentList>
    <comment ref="E18" authorId="0" shapeId="0">
      <text>
        <t>Decision variable, one per item. Integer units from the Python search.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W48"/>
  <sheetViews>
    <sheetView workbookViewId="0">
      <pane ySplit="20" topLeftCell="A21" activePane="bottomLeft" state="frozen"/>
      <selection pane="bottomLeft" activeCell="A1" sqref="A1"/>
    </sheetView>
  </sheetViews>
  <sheetFormatPr baseColWidth="8" defaultRowHeight="15"/>
  <cols>
    <col width="28" customWidth="1" min="1" max="1"/>
    <col width="22" customWidth="1" min="2" max="2"/>
    <col width="8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FOODS_3_090 — continuous review, one item, formula simulation</t>
        </is>
      </c>
    </row>
    <row r="2" ht="48" customHeight="1">
      <c r="A2" s="2" t="inlineStr">
        <is>
          <t>Decision variable is safety stock (B8), yellow. Objective is average end-of-day on-hand (B11), green. Constraint is the unit shortfall (B14) strictly under 0.05, orange. Order quantity is not a decision. Lead time is the 7-day assumption. Excel Solver was not run. B8 is the Python integer search.</t>
        </is>
      </c>
    </row>
    <row r="3" ht="32" customHeight="1">
      <c r="A3" s="3" t="inlineStr">
        <is>
          <t>item_id</t>
        </is>
      </c>
      <c r="B3" t="inlineStr">
        <is>
          <t>FOODS_3_090</t>
        </is>
      </c>
      <c r="C3" s="2" t="inlineStr">
        <is>
          <t>Busiest class A item by actual holdout units. The example, not the whole policy.</t>
        </is>
      </c>
      <c r="E3" s="3" t="inlineStr">
        <is>
          <t>normal_loss_candidate_safety_stock</t>
        </is>
      </c>
      <c r="F3" s="4" t="n">
        <v>0</v>
      </c>
      <c r="G3" t="inlineStr">
        <is>
          <t>Not the decision. z from the normal loss, times daily error std * sqrt(7), ceiled, floored at 0.</t>
        </is>
      </c>
    </row>
    <row r="4" ht="36" customHeight="1">
      <c r="A4" s="3" t="inlineStr">
        <is>
          <t>lead_time_days</t>
        </is>
      </c>
      <c r="B4" t="n">
        <v>7</v>
      </c>
      <c r="C4" s="2" t="inlineStr">
        <is>
          <t>Assumption. Fixed. No variability. Not a column in the data. Orders placed on day t arrive at the start of day t+7.</t>
        </is>
      </c>
      <c r="E4" s="3" t="inlineStr">
        <is>
          <t>normal_loss_z</t>
        </is>
      </c>
      <c r="F4" s="5" t="n">
        <v>-0.1620359707187077</v>
      </c>
      <c r="G4" t="inlineStr">
        <is>
          <t>Solved so n(z) = 0.05 * order_qty / sigma_L. Negative z becomes a candidate of 0.</t>
        </is>
      </c>
    </row>
    <row r="5" ht="36" customHeight="1">
      <c r="A5" s="3" t="inlineStr">
        <is>
          <t>mean_daily_lgbm</t>
        </is>
      </c>
      <c r="B5" s="5">
        <f>AVERAGE(D21:D48)</f>
        <v/>
      </c>
      <c r="C5" s="2" t="inlineStr">
        <is>
          <t>Mean of this item's 28 LightGBM forecasts. Not the mean of actual. The forecast is not debiased.</t>
        </is>
      </c>
      <c r="E5" s="3" t="inlineStr">
        <is>
          <t>candidate_fill_rate_at_its_own_ss</t>
        </is>
      </c>
      <c r="F5" s="5" t="n">
        <v>0.1632751645506041</v>
      </c>
      <c r="G5" t="inlineStr">
        <is>
          <t>Python simulation of that candidate on this item's actuals. If this is 0.05 or higher, the candidate misses the cap.</t>
        </is>
      </c>
    </row>
    <row r="6" ht="36" customHeight="1">
      <c r="A6" s="3" t="inlineStr">
        <is>
          <t>expected_lead_time_demand</t>
        </is>
      </c>
      <c r="B6" s="5">
        <f>B5*B4</f>
        <v/>
      </c>
      <c r="C6" s="2" t="inlineStr">
        <is>
          <t>Mean daily lgbm times 7. The forecast changes by day, so this is the mean day times the lead time, not one particular week and not actual.</t>
        </is>
      </c>
      <c r="E6" s="3" t="inlineStr">
        <is>
          <t>candidate_misses_cap</t>
        </is>
      </c>
      <c r="F6" t="b">
        <v>1</v>
      </c>
    </row>
    <row r="7" ht="36" customHeight="1">
      <c r="A7" s="3" t="inlineStr">
        <is>
          <t>order_qty</t>
        </is>
      </c>
      <c r="B7">
        <f>MAX(1,ROUNDUP(B6,0))</f>
        <v/>
      </c>
      <c r="C7" s="2" t="inlineStr">
        <is>
          <t>Smallest whole number of units at least the expected lead-time demand, and at least 1. Not an EOQ. Solver must not change this cell.</t>
        </is>
      </c>
    </row>
    <row r="8" ht="36" customHeight="1">
      <c r="A8" s="3" t="inlineStr">
        <is>
          <t>safety_stock</t>
        </is>
      </c>
      <c r="B8" s="6" t="n">
        <v>38</v>
      </c>
      <c r="C8" s="2" t="inlineStr">
        <is>
          <t>DECISION VARIABLE. Integer units. Python enumerated 0, 1, 2, ... The value is that search, not an Excel Solver answer.</t>
        </is>
      </c>
    </row>
    <row r="9" ht="36" customHeight="1">
      <c r="A9" s="3" t="inlineStr">
        <is>
          <t>reorder_point</t>
        </is>
      </c>
      <c r="B9" s="5">
        <f>B6+B8</f>
        <v/>
      </c>
      <c r="C9" s="2" t="inlineStr">
        <is>
          <t>Expected lead-time demand plus safety stock. Not rounded to a whole unit.</t>
        </is>
      </c>
    </row>
    <row r="10" ht="36" customHeight="1">
      <c r="A10" s="3" t="inlineStr">
        <is>
          <t>starting_on_hand</t>
        </is>
      </c>
      <c r="B10">
        <f>B9</f>
        <v/>
      </c>
      <c r="C10" s="2" t="inlineStr">
        <is>
          <t>Assumption. Opening on-hand equals the reorder point. On-order is zero until the day-0 morning review, which orders because the position is already at the reorder point.</t>
        </is>
      </c>
    </row>
    <row r="11" ht="36" customHeight="1">
      <c r="A11" s="3" t="inlineStr">
        <is>
          <t>objective_avg_on_hand</t>
        </is>
      </c>
      <c r="B11" s="7">
        <f>AVERAGE(R21:R48)</f>
        <v/>
      </c>
      <c r="C11" s="2" t="inlineStr">
        <is>
          <t>OBJECTIVE. Minimize. Mean of end-of-day on-hand over the 28 holdout days, in units. Not dollars.</t>
        </is>
      </c>
    </row>
    <row r="12" ht="36" customHeight="1">
      <c r="A12" s="3" t="inlineStr">
        <is>
          <t>units_short</t>
        </is>
      </c>
      <c r="B12" s="5">
        <f>SUM(L21:L48)</f>
        <v/>
      </c>
      <c r="C12" s="2" t="inlineStr">
        <is>
          <t>Units demanded that the shelf did not have. Lost sales. Not backordered.</t>
        </is>
      </c>
    </row>
    <row r="13" ht="36" customHeight="1">
      <c r="A13" s="3" t="inlineStr">
        <is>
          <t>units_demanded</t>
        </is>
      </c>
      <c r="B13">
        <f>SUM(C21:C48)</f>
        <v/>
      </c>
      <c r="C13" s="2" t="inlineStr">
        <is>
          <t>Sum of actual. The simulation consumes actual. The reorder point does not.</t>
        </is>
      </c>
    </row>
    <row r="14" ht="36" customHeight="1">
      <c r="A14" s="3" t="inlineStr">
        <is>
          <t>fill_rate</t>
        </is>
      </c>
      <c r="B14" s="8">
        <f>IF(B13=0,0,B12/B13)</f>
        <v/>
      </c>
      <c r="C14" s="2" t="inlineStr">
        <is>
          <t>CONSTRAINT. Units short / units demanded. Must be strictly under 0.05. This is the unfilled share, which is how the plan defined the cap.</t>
        </is>
      </c>
    </row>
    <row r="15" ht="36" customHeight="1">
      <c r="A15" s="3" t="inlineStr">
        <is>
          <t>cap</t>
        </is>
      </c>
      <c r="B15" t="n">
        <v>0.05</v>
      </c>
      <c r="C15" s="2" t="inlineStr">
        <is>
          <t>Strict. An exact 0.05 fails. Excel Solver's dialog has &lt;= rather than &lt;. Use &lt;= 0.049999, or reject a result of exactly 0.05.</t>
        </is>
      </c>
    </row>
    <row r="16" ht="36" customHeight="1">
      <c r="A16" s="3" t="inlineStr">
        <is>
          <t>meets_cap</t>
        </is>
      </c>
      <c r="B16" s="9">
        <f>B14&lt;B15</f>
        <v/>
      </c>
      <c r="C16" s="2" t="inlineStr">
        <is>
          <t>TRUE only when the shortfall is strictly under the cap.</t>
        </is>
      </c>
    </row>
    <row r="17" ht="36" customHeight="1">
      <c r="A17" s="3" t="inlineStr">
        <is>
          <t>cycle_stock_units</t>
        </is>
      </c>
      <c r="B17" s="10">
        <f>B7/2</f>
        <v/>
      </c>
      <c r="C17" s="2" t="inlineStr">
        <is>
          <t>Textbook half of the order quantity. Not the objective. Not a simulated average.</t>
        </is>
      </c>
    </row>
    <row r="18" ht="36" customHeight="1">
      <c r="A18" s="3" t="inlineStr">
        <is>
          <t>textbook_units_held</t>
        </is>
      </c>
      <c r="B18" s="10">
        <f>B17+B8</f>
        <v/>
      </c>
      <c r="C18" s="2" t="inlineStr">
        <is>
          <t>Cycle stock plus safety stock. Reported so it can be compared with B11. Not the objective, and not dollars.</t>
        </is>
      </c>
    </row>
    <row r="19" ht="36" customHeight="1">
      <c r="A19" s="3" t="inlineStr">
        <is>
          <t>formula_minus_python</t>
        </is>
      </c>
      <c r="B19" s="11">
        <f>MAX(V21:V48)+MAX(W21:W48)</f>
        <v/>
      </c>
      <c r="C19" s="2" t="inlineStr">
        <is>
          <t>Audit. Max absolute gap between the formula on-hand and shortfall and the Python trace at this safety stock. Should be about 0. The Python columns do not drive the model.</t>
        </is>
      </c>
    </row>
    <row r="20" ht="32" customHeight="1">
      <c r="A20" s="12" t="inlineStr">
        <is>
          <t>day_index</t>
        </is>
      </c>
      <c r="B20" s="12" t="inlineStr">
        <is>
          <t>date</t>
        </is>
      </c>
      <c r="C20" s="12" t="inlineStr">
        <is>
          <t>actual</t>
        </is>
      </c>
      <c r="D20" s="12" t="inlineStr">
        <is>
          <t>lgbm</t>
        </is>
      </c>
      <c r="E20" s="12" t="inlineStr">
        <is>
          <t>receipt</t>
        </is>
      </c>
      <c r="F20" s="12" t="inlineStr">
        <is>
          <t>on_hand_after_receipt</t>
        </is>
      </c>
      <c r="G20" s="12" t="inlineStr">
        <is>
          <t>on_order_after_receipt</t>
        </is>
      </c>
      <c r="H20" s="12" t="inlineStr">
        <is>
          <t>ip_morning</t>
        </is>
      </c>
      <c r="I20" s="12" t="inlineStr">
        <is>
          <t>lots_morning</t>
        </is>
      </c>
      <c r="J20" s="12" t="inlineStr">
        <is>
          <t>on_order_after_morning</t>
        </is>
      </c>
      <c r="K20" s="12" t="inlineStr">
        <is>
          <t>sales</t>
        </is>
      </c>
      <c r="L20" s="12" t="inlineStr">
        <is>
          <t>units_short</t>
        </is>
      </c>
      <c r="M20" s="12" t="inlineStr">
        <is>
          <t>on_hand_after_demand</t>
        </is>
      </c>
      <c r="N20" s="12" t="inlineStr">
        <is>
          <t>ip_after_demand</t>
        </is>
      </c>
      <c r="O20" s="12" t="inlineStr">
        <is>
          <t>lots_after_demand</t>
        </is>
      </c>
      <c r="P20" s="12" t="inlineStr">
        <is>
          <t>lots_today</t>
        </is>
      </c>
      <c r="Q20" s="12" t="inlineStr">
        <is>
          <t>order_units</t>
        </is>
      </c>
      <c r="R20" s="12" t="inlineStr">
        <is>
          <t>on_hand_end</t>
        </is>
      </c>
      <c r="S20" s="12" t="inlineStr">
        <is>
          <t>on_order_end</t>
        </is>
      </c>
      <c r="T20" s="12" t="inlineStr">
        <is>
          <t>python_on_hand_end</t>
        </is>
      </c>
      <c r="U20" s="12" t="inlineStr">
        <is>
          <t>python_units_short</t>
        </is>
      </c>
      <c r="V20" s="12" t="inlineStr">
        <is>
          <t>abs_on_hand_gap</t>
        </is>
      </c>
      <c r="W20" s="12" t="inlineStr">
        <is>
          <t>abs_short_gap</t>
        </is>
      </c>
    </row>
    <row r="21">
      <c r="A21" t="n">
        <v>0</v>
      </c>
      <c r="B21" s="13" t="n">
        <v>42485</v>
      </c>
      <c r="C21" t="n">
        <v>133</v>
      </c>
      <c r="D21" t="n">
        <v>81.73313553207025</v>
      </c>
      <c r="E21">
        <f>IF(A21&lt;$B$4,0,INDEX($Q$21:$Q$48,A21-$B$4+1))</f>
        <v/>
      </c>
      <c r="F21">
        <f>$B$10+E21</f>
        <v/>
      </c>
      <c r="G21">
        <f>0-E21</f>
        <v/>
      </c>
      <c r="H21">
        <f>F21+G21</f>
        <v/>
      </c>
      <c r="I21">
        <f>IF(H21&lt;=$B$9,INT(($B$9-H21)/$B$7)+1,0)</f>
        <v/>
      </c>
      <c r="J21">
        <f>G21+I21*$B$7</f>
        <v/>
      </c>
      <c r="K21">
        <f>MIN(F21,C21)</f>
        <v/>
      </c>
      <c r="L21">
        <f>C21-K21</f>
        <v/>
      </c>
      <c r="M21">
        <f>F21-K21</f>
        <v/>
      </c>
      <c r="N21">
        <f>M21+J21</f>
        <v/>
      </c>
      <c r="O21">
        <f>IF(N21&lt;=$B$9,INT(($B$9-N21)/$B$7)+1,0)</f>
        <v/>
      </c>
      <c r="P21">
        <f>I21+O21</f>
        <v/>
      </c>
      <c r="Q21">
        <f>P21*$B$7</f>
        <v/>
      </c>
      <c r="R21">
        <f>M21</f>
        <v/>
      </c>
      <c r="S21">
        <f>J21+O21*$B$7</f>
        <v/>
      </c>
      <c r="T21" t="n">
        <v>617.8852726036218</v>
      </c>
      <c r="U21" t="n">
        <v>0</v>
      </c>
      <c r="V21">
        <f>ABS(R21-T21)</f>
        <v/>
      </c>
      <c r="W21">
        <f>ABS(L21-U21)</f>
        <v/>
      </c>
    </row>
    <row r="22">
      <c r="A22" t="n">
        <v>1</v>
      </c>
      <c r="B22" s="13" t="n">
        <v>42486</v>
      </c>
      <c r="C22" t="n">
        <v>117</v>
      </c>
      <c r="D22" t="n">
        <v>81.48605771245197</v>
      </c>
      <c r="E22">
        <f>IF(A22&lt;$B$4,0,INDEX($Q$21:$Q$48,A22-$B$4+1))</f>
        <v/>
      </c>
      <c r="F22">
        <f>R21+E22</f>
        <v/>
      </c>
      <c r="G22">
        <f>S21-E22</f>
        <v/>
      </c>
      <c r="H22">
        <f>F22+G22</f>
        <v/>
      </c>
      <c r="I22">
        <f>IF(H22&lt;=$B$9,INT(($B$9-H22)/$B$7)+1,0)</f>
        <v/>
      </c>
      <c r="J22">
        <f>G22+I22*$B$7</f>
        <v/>
      </c>
      <c r="K22">
        <f>MIN(F22,C22)</f>
        <v/>
      </c>
      <c r="L22">
        <f>C22-K22</f>
        <v/>
      </c>
      <c r="M22">
        <f>F22-K22</f>
        <v/>
      </c>
      <c r="N22">
        <f>M22+J22</f>
        <v/>
      </c>
      <c r="O22">
        <f>IF(N22&lt;=$B$9,INT(($B$9-N22)/$B$7)+1,0)</f>
        <v/>
      </c>
      <c r="P22">
        <f>I22+O22</f>
        <v/>
      </c>
      <c r="Q22">
        <f>P22*$B$7</f>
        <v/>
      </c>
      <c r="R22">
        <f>M22</f>
        <v/>
      </c>
      <c r="S22">
        <f>J22+O22*$B$7</f>
        <v/>
      </c>
      <c r="T22" t="n">
        <v>500.8852726036218</v>
      </c>
      <c r="U22" t="n">
        <v>0</v>
      </c>
      <c r="V22">
        <f>ABS(R22-T22)</f>
        <v/>
      </c>
      <c r="W22">
        <f>ABS(L22-U22)</f>
        <v/>
      </c>
    </row>
    <row r="23">
      <c r="A23" t="n">
        <v>2</v>
      </c>
      <c r="B23" s="13" t="n">
        <v>42487</v>
      </c>
      <c r="C23" t="n">
        <v>113</v>
      </c>
      <c r="D23" t="n">
        <v>82.62987401003635</v>
      </c>
      <c r="E23">
        <f>IF(A23&lt;$B$4,0,INDEX($Q$21:$Q$48,A23-$B$4+1))</f>
        <v/>
      </c>
      <c r="F23">
        <f>R22+E23</f>
        <v/>
      </c>
      <c r="G23">
        <f>S22-E23</f>
        <v/>
      </c>
      <c r="H23">
        <f>F23+G23</f>
        <v/>
      </c>
      <c r="I23">
        <f>IF(H23&lt;=$B$9,INT(($B$9-H23)/$B$7)+1,0)</f>
        <v/>
      </c>
      <c r="J23">
        <f>G23+I23*$B$7</f>
        <v/>
      </c>
      <c r="K23">
        <f>MIN(F23,C23)</f>
        <v/>
      </c>
      <c r="L23">
        <f>C23-K23</f>
        <v/>
      </c>
      <c r="M23">
        <f>F23-K23</f>
        <v/>
      </c>
      <c r="N23">
        <f>M23+J23</f>
        <v/>
      </c>
      <c r="O23">
        <f>IF(N23&lt;=$B$9,INT(($B$9-N23)/$B$7)+1,0)</f>
        <v/>
      </c>
      <c r="P23">
        <f>I23+O23</f>
        <v/>
      </c>
      <c r="Q23">
        <f>P23*$B$7</f>
        <v/>
      </c>
      <c r="R23">
        <f>M23</f>
        <v/>
      </c>
      <c r="S23">
        <f>J23+O23*$B$7</f>
        <v/>
      </c>
      <c r="T23" t="n">
        <v>387.8852726036218</v>
      </c>
      <c r="U23" t="n">
        <v>0</v>
      </c>
      <c r="V23">
        <f>ABS(R23-T23)</f>
        <v/>
      </c>
      <c r="W23">
        <f>ABS(L23-U23)</f>
        <v/>
      </c>
    </row>
    <row r="24">
      <c r="A24" t="n">
        <v>3</v>
      </c>
      <c r="B24" s="13" t="n">
        <v>42488</v>
      </c>
      <c r="C24" t="n">
        <v>99</v>
      </c>
      <c r="D24" t="n">
        <v>82.6156497347615</v>
      </c>
      <c r="E24">
        <f>IF(A24&lt;$B$4,0,INDEX($Q$21:$Q$48,A24-$B$4+1))</f>
        <v/>
      </c>
      <c r="F24">
        <f>R23+E24</f>
        <v/>
      </c>
      <c r="G24">
        <f>S23-E24</f>
        <v/>
      </c>
      <c r="H24">
        <f>F24+G24</f>
        <v/>
      </c>
      <c r="I24">
        <f>IF(H24&lt;=$B$9,INT(($B$9-H24)/$B$7)+1,0)</f>
        <v/>
      </c>
      <c r="J24">
        <f>G24+I24*$B$7</f>
        <v/>
      </c>
      <c r="K24">
        <f>MIN(F24,C24)</f>
        <v/>
      </c>
      <c r="L24">
        <f>C24-K24</f>
        <v/>
      </c>
      <c r="M24">
        <f>F24-K24</f>
        <v/>
      </c>
      <c r="N24">
        <f>M24+J24</f>
        <v/>
      </c>
      <c r="O24">
        <f>IF(N24&lt;=$B$9,INT(($B$9-N24)/$B$7)+1,0)</f>
        <v/>
      </c>
      <c r="P24">
        <f>I24+O24</f>
        <v/>
      </c>
      <c r="Q24">
        <f>P24*$B$7</f>
        <v/>
      </c>
      <c r="R24">
        <f>M24</f>
        <v/>
      </c>
      <c r="S24">
        <f>J24+O24*$B$7</f>
        <v/>
      </c>
      <c r="T24" t="n">
        <v>288.8852726036218</v>
      </c>
      <c r="U24" t="n">
        <v>0</v>
      </c>
      <c r="V24">
        <f>ABS(R24-T24)</f>
        <v/>
      </c>
      <c r="W24">
        <f>ABS(L24-U24)</f>
        <v/>
      </c>
    </row>
    <row r="25">
      <c r="A25" t="n">
        <v>4</v>
      </c>
      <c r="B25" s="13" t="n">
        <v>42489</v>
      </c>
      <c r="C25" t="n">
        <v>196</v>
      </c>
      <c r="D25" t="n">
        <v>133.1526208702732</v>
      </c>
      <c r="E25">
        <f>IF(A25&lt;$B$4,0,INDEX($Q$21:$Q$48,A25-$B$4+1))</f>
        <v/>
      </c>
      <c r="F25">
        <f>R24+E25</f>
        <v/>
      </c>
      <c r="G25">
        <f>S24-E25</f>
        <v/>
      </c>
      <c r="H25">
        <f>F25+G25</f>
        <v/>
      </c>
      <c r="I25">
        <f>IF(H25&lt;=$B$9,INT(($B$9-H25)/$B$7)+1,0)</f>
        <v/>
      </c>
      <c r="J25">
        <f>G25+I25*$B$7</f>
        <v/>
      </c>
      <c r="K25">
        <f>MIN(F25,C25)</f>
        <v/>
      </c>
      <c r="L25">
        <f>C25-K25</f>
        <v/>
      </c>
      <c r="M25">
        <f>F25-K25</f>
        <v/>
      </c>
      <c r="N25">
        <f>M25+J25</f>
        <v/>
      </c>
      <c r="O25">
        <f>IF(N25&lt;=$B$9,INT(($B$9-N25)/$B$7)+1,0)</f>
        <v/>
      </c>
      <c r="P25">
        <f>I25+O25</f>
        <v/>
      </c>
      <c r="Q25">
        <f>P25*$B$7</f>
        <v/>
      </c>
      <c r="R25">
        <f>M25</f>
        <v/>
      </c>
      <c r="S25">
        <f>J25+O25*$B$7</f>
        <v/>
      </c>
      <c r="T25" t="n">
        <v>92.88527260362184</v>
      </c>
      <c r="U25" t="n">
        <v>0</v>
      </c>
      <c r="V25">
        <f>ABS(R25-T25)</f>
        <v/>
      </c>
      <c r="W25">
        <f>ABS(L25-U25)</f>
        <v/>
      </c>
    </row>
    <row r="26">
      <c r="A26" t="n">
        <v>5</v>
      </c>
      <c r="B26" s="13" t="n">
        <v>42490</v>
      </c>
      <c r="C26" t="n">
        <v>132</v>
      </c>
      <c r="D26" t="n">
        <v>161.4413390350727</v>
      </c>
      <c r="E26">
        <f>IF(A26&lt;$B$4,0,INDEX($Q$21:$Q$48,A26-$B$4+1))</f>
        <v/>
      </c>
      <c r="F26">
        <f>R25+E26</f>
        <v/>
      </c>
      <c r="G26">
        <f>S25-E26</f>
        <v/>
      </c>
      <c r="H26">
        <f>F26+G26</f>
        <v/>
      </c>
      <c r="I26">
        <f>IF(H26&lt;=$B$9,INT(($B$9-H26)/$B$7)+1,0)</f>
        <v/>
      </c>
      <c r="J26">
        <f>G26+I26*$B$7</f>
        <v/>
      </c>
      <c r="K26">
        <f>MIN(F26,C26)</f>
        <v/>
      </c>
      <c r="L26">
        <f>C26-K26</f>
        <v/>
      </c>
      <c r="M26">
        <f>F26-K26</f>
        <v/>
      </c>
      <c r="N26">
        <f>M26+J26</f>
        <v/>
      </c>
      <c r="O26">
        <f>IF(N26&lt;=$B$9,INT(($B$9-N26)/$B$7)+1,0)</f>
        <v/>
      </c>
      <c r="P26">
        <f>I26+O26</f>
        <v/>
      </c>
      <c r="Q26">
        <f>P26*$B$7</f>
        <v/>
      </c>
      <c r="R26">
        <f>M26</f>
        <v/>
      </c>
      <c r="S26">
        <f>J26+O26*$B$7</f>
        <v/>
      </c>
      <c r="T26" t="n">
        <v>0</v>
      </c>
      <c r="U26" t="n">
        <v>39.11472739637816</v>
      </c>
      <c r="V26">
        <f>ABS(R26-T26)</f>
        <v/>
      </c>
      <c r="W26">
        <f>ABS(L26-U26)</f>
        <v/>
      </c>
    </row>
    <row r="27">
      <c r="A27" t="n">
        <v>6</v>
      </c>
      <c r="B27" s="13" t="n">
        <v>42491</v>
      </c>
      <c r="C27" t="n">
        <v>114</v>
      </c>
      <c r="D27" t="n">
        <v>110.7099450153557</v>
      </c>
      <c r="E27">
        <f>IF(A27&lt;$B$4,0,INDEX($Q$21:$Q$48,A27-$B$4+1))</f>
        <v/>
      </c>
      <c r="F27">
        <f>R26+E27</f>
        <v/>
      </c>
      <c r="G27">
        <f>S26-E27</f>
        <v/>
      </c>
      <c r="H27">
        <f>F27+G27</f>
        <v/>
      </c>
      <c r="I27">
        <f>IF(H27&lt;=$B$9,INT(($B$9-H27)/$B$7)+1,0)</f>
        <v/>
      </c>
      <c r="J27">
        <f>G27+I27*$B$7</f>
        <v/>
      </c>
      <c r="K27">
        <f>MIN(F27,C27)</f>
        <v/>
      </c>
      <c r="L27">
        <f>C27-K27</f>
        <v/>
      </c>
      <c r="M27">
        <f>F27-K27</f>
        <v/>
      </c>
      <c r="N27">
        <f>M27+J27</f>
        <v/>
      </c>
      <c r="O27">
        <f>IF(N27&lt;=$B$9,INT(($B$9-N27)/$B$7)+1,0)</f>
        <v/>
      </c>
      <c r="P27">
        <f>I27+O27</f>
        <v/>
      </c>
      <c r="Q27">
        <f>P27*$B$7</f>
        <v/>
      </c>
      <c r="R27">
        <f>M27</f>
        <v/>
      </c>
      <c r="S27">
        <f>J27+O27*$B$7</f>
        <v/>
      </c>
      <c r="T27" t="n">
        <v>0</v>
      </c>
      <c r="U27" t="n">
        <v>114</v>
      </c>
      <c r="V27">
        <f>ABS(R27-T27)</f>
        <v/>
      </c>
      <c r="W27">
        <f>ABS(L27-U27)</f>
        <v/>
      </c>
    </row>
    <row r="28">
      <c r="A28" t="n">
        <v>7</v>
      </c>
      <c r="B28" s="13" t="n">
        <v>42492</v>
      </c>
      <c r="C28" t="n">
        <v>114</v>
      </c>
      <c r="D28" t="n">
        <v>99.75199831460183</v>
      </c>
      <c r="E28">
        <f>IF(A28&lt;$B$4,0,INDEX($Q$21:$Q$48,A28-$B$4+1))</f>
        <v/>
      </c>
      <c r="F28">
        <f>R27+E28</f>
        <v/>
      </c>
      <c r="G28">
        <f>S27-E28</f>
        <v/>
      </c>
      <c r="H28">
        <f>F28+G28</f>
        <v/>
      </c>
      <c r="I28">
        <f>IF(H28&lt;=$B$9,INT(($B$9-H28)/$B$7)+1,0)</f>
        <v/>
      </c>
      <c r="J28">
        <f>G28+I28*$B$7</f>
        <v/>
      </c>
      <c r="K28">
        <f>MIN(F28,C28)</f>
        <v/>
      </c>
      <c r="L28">
        <f>C28-K28</f>
        <v/>
      </c>
      <c r="M28">
        <f>F28-K28</f>
        <v/>
      </c>
      <c r="N28">
        <f>M28+J28</f>
        <v/>
      </c>
      <c r="O28">
        <f>IF(N28&lt;=$B$9,INT(($B$9-N28)/$B$7)+1,0)</f>
        <v/>
      </c>
      <c r="P28">
        <f>I28+O28</f>
        <v/>
      </c>
      <c r="Q28">
        <f>P28*$B$7</f>
        <v/>
      </c>
      <c r="R28">
        <f>M28</f>
        <v/>
      </c>
      <c r="S28">
        <f>J28+O28*$B$7</f>
        <v/>
      </c>
      <c r="T28" t="n">
        <v>599</v>
      </c>
      <c r="U28" t="n">
        <v>0</v>
      </c>
      <c r="V28">
        <f>ABS(R28-T28)</f>
        <v/>
      </c>
      <c r="W28">
        <f>ABS(L28-U28)</f>
        <v/>
      </c>
    </row>
    <row r="29">
      <c r="A29" t="n">
        <v>8</v>
      </c>
      <c r="B29" s="13" t="n">
        <v>42493</v>
      </c>
      <c r="C29" t="n">
        <v>93</v>
      </c>
      <c r="D29" t="n">
        <v>92.4016590427596</v>
      </c>
      <c r="E29">
        <f>IF(A29&lt;$B$4,0,INDEX($Q$21:$Q$48,A29-$B$4+1))</f>
        <v/>
      </c>
      <c r="F29">
        <f>R28+E29</f>
        <v/>
      </c>
      <c r="G29">
        <f>S28-E29</f>
        <v/>
      </c>
      <c r="H29">
        <f>F29+G29</f>
        <v/>
      </c>
      <c r="I29">
        <f>IF(H29&lt;=$B$9,INT(($B$9-H29)/$B$7)+1,0)</f>
        <v/>
      </c>
      <c r="J29">
        <f>G29+I29*$B$7</f>
        <v/>
      </c>
      <c r="K29">
        <f>MIN(F29,C29)</f>
        <v/>
      </c>
      <c r="L29">
        <f>C29-K29</f>
        <v/>
      </c>
      <c r="M29">
        <f>F29-K29</f>
        <v/>
      </c>
      <c r="N29">
        <f>M29+J29</f>
        <v/>
      </c>
      <c r="O29">
        <f>IF(N29&lt;=$B$9,INT(($B$9-N29)/$B$7)+1,0)</f>
        <v/>
      </c>
      <c r="P29">
        <f>I29+O29</f>
        <v/>
      </c>
      <c r="Q29">
        <f>P29*$B$7</f>
        <v/>
      </c>
      <c r="R29">
        <f>M29</f>
        <v/>
      </c>
      <c r="S29">
        <f>J29+O29*$B$7</f>
        <v/>
      </c>
      <c r="T29" t="n">
        <v>506</v>
      </c>
      <c r="U29" t="n">
        <v>0</v>
      </c>
      <c r="V29">
        <f>ABS(R29-T29)</f>
        <v/>
      </c>
      <c r="W29">
        <f>ABS(L29-U29)</f>
        <v/>
      </c>
    </row>
    <row r="30">
      <c r="A30" t="n">
        <v>9</v>
      </c>
      <c r="B30" s="13" t="n">
        <v>42494</v>
      </c>
      <c r="C30" t="n">
        <v>77</v>
      </c>
      <c r="D30" t="n">
        <v>100.5323057283359</v>
      </c>
      <c r="E30">
        <f>IF(A30&lt;$B$4,0,INDEX($Q$21:$Q$48,A30-$B$4+1))</f>
        <v/>
      </c>
      <c r="F30">
        <f>R29+E30</f>
        <v/>
      </c>
      <c r="G30">
        <f>S29-E30</f>
        <v/>
      </c>
      <c r="H30">
        <f>F30+G30</f>
        <v/>
      </c>
      <c r="I30">
        <f>IF(H30&lt;=$B$9,INT(($B$9-H30)/$B$7)+1,0)</f>
        <v/>
      </c>
      <c r="J30">
        <f>G30+I30*$B$7</f>
        <v/>
      </c>
      <c r="K30">
        <f>MIN(F30,C30)</f>
        <v/>
      </c>
      <c r="L30">
        <f>C30-K30</f>
        <v/>
      </c>
      <c r="M30">
        <f>F30-K30</f>
        <v/>
      </c>
      <c r="N30">
        <f>M30+J30</f>
        <v/>
      </c>
      <c r="O30">
        <f>IF(N30&lt;=$B$9,INT(($B$9-N30)/$B$7)+1,0)</f>
        <v/>
      </c>
      <c r="P30">
        <f>I30+O30</f>
        <v/>
      </c>
      <c r="Q30">
        <f>P30*$B$7</f>
        <v/>
      </c>
      <c r="R30">
        <f>M30</f>
        <v/>
      </c>
      <c r="S30">
        <f>J30+O30*$B$7</f>
        <v/>
      </c>
      <c r="T30" t="n">
        <v>429</v>
      </c>
      <c r="U30" t="n">
        <v>0</v>
      </c>
      <c r="V30">
        <f>ABS(R30-T30)</f>
        <v/>
      </c>
      <c r="W30">
        <f>ABS(L30-U30)</f>
        <v/>
      </c>
    </row>
    <row r="31">
      <c r="A31" t="n">
        <v>10</v>
      </c>
      <c r="B31" s="13" t="n">
        <v>42495</v>
      </c>
      <c r="C31" t="n">
        <v>83</v>
      </c>
      <c r="D31" t="n">
        <v>100.0057768859557</v>
      </c>
      <c r="E31">
        <f>IF(A31&lt;$B$4,0,INDEX($Q$21:$Q$48,A31-$B$4+1))</f>
        <v/>
      </c>
      <c r="F31">
        <f>R30+E31</f>
        <v/>
      </c>
      <c r="G31">
        <f>S30-E31</f>
        <v/>
      </c>
      <c r="H31">
        <f>F31+G31</f>
        <v/>
      </c>
      <c r="I31">
        <f>IF(H31&lt;=$B$9,INT(($B$9-H31)/$B$7)+1,0)</f>
        <v/>
      </c>
      <c r="J31">
        <f>G31+I31*$B$7</f>
        <v/>
      </c>
      <c r="K31">
        <f>MIN(F31,C31)</f>
        <v/>
      </c>
      <c r="L31">
        <f>C31-K31</f>
        <v/>
      </c>
      <c r="M31">
        <f>F31-K31</f>
        <v/>
      </c>
      <c r="N31">
        <f>M31+J31</f>
        <v/>
      </c>
      <c r="O31">
        <f>IF(N31&lt;=$B$9,INT(($B$9-N31)/$B$7)+1,0)</f>
        <v/>
      </c>
      <c r="P31">
        <f>I31+O31</f>
        <v/>
      </c>
      <c r="Q31">
        <f>P31*$B$7</f>
        <v/>
      </c>
      <c r="R31">
        <f>M31</f>
        <v/>
      </c>
      <c r="S31">
        <f>J31+O31*$B$7</f>
        <v/>
      </c>
      <c r="T31" t="n">
        <v>346</v>
      </c>
      <c r="U31" t="n">
        <v>0</v>
      </c>
      <c r="V31">
        <f>ABS(R31-T31)</f>
        <v/>
      </c>
      <c r="W31">
        <f>ABS(L31-U31)</f>
        <v/>
      </c>
    </row>
    <row r="32">
      <c r="A32" t="n">
        <v>11</v>
      </c>
      <c r="B32" s="13" t="n">
        <v>42496</v>
      </c>
      <c r="C32" t="n">
        <v>138</v>
      </c>
      <c r="D32" t="n">
        <v>108.9976041145493</v>
      </c>
      <c r="E32">
        <f>IF(A32&lt;$B$4,0,INDEX($Q$21:$Q$48,A32-$B$4+1))</f>
        <v/>
      </c>
      <c r="F32">
        <f>R31+E32</f>
        <v/>
      </c>
      <c r="G32">
        <f>S31-E32</f>
        <v/>
      </c>
      <c r="H32">
        <f>F32+G32</f>
        <v/>
      </c>
      <c r="I32">
        <f>IF(H32&lt;=$B$9,INT(($B$9-H32)/$B$7)+1,0)</f>
        <v/>
      </c>
      <c r="J32">
        <f>G32+I32*$B$7</f>
        <v/>
      </c>
      <c r="K32">
        <f>MIN(F32,C32)</f>
        <v/>
      </c>
      <c r="L32">
        <f>C32-K32</f>
        <v/>
      </c>
      <c r="M32">
        <f>F32-K32</f>
        <v/>
      </c>
      <c r="N32">
        <f>M32+J32</f>
        <v/>
      </c>
      <c r="O32">
        <f>IF(N32&lt;=$B$9,INT(($B$9-N32)/$B$7)+1,0)</f>
        <v/>
      </c>
      <c r="P32">
        <f>I32+O32</f>
        <v/>
      </c>
      <c r="Q32">
        <f>P32*$B$7</f>
        <v/>
      </c>
      <c r="R32">
        <f>M32</f>
        <v/>
      </c>
      <c r="S32">
        <f>J32+O32*$B$7</f>
        <v/>
      </c>
      <c r="T32" t="n">
        <v>208</v>
      </c>
      <c r="U32" t="n">
        <v>0</v>
      </c>
      <c r="V32">
        <f>ABS(R32-T32)</f>
        <v/>
      </c>
      <c r="W32">
        <f>ABS(L32-U32)</f>
        <v/>
      </c>
    </row>
    <row r="33">
      <c r="A33" t="n">
        <v>12</v>
      </c>
      <c r="B33" s="13" t="n">
        <v>42497</v>
      </c>
      <c r="C33" t="n">
        <v>173</v>
      </c>
      <c r="D33" t="n">
        <v>121.7805290861805</v>
      </c>
      <c r="E33">
        <f>IF(A33&lt;$B$4,0,INDEX($Q$21:$Q$48,A33-$B$4+1))</f>
        <v/>
      </c>
      <c r="F33">
        <f>R32+E33</f>
        <v/>
      </c>
      <c r="G33">
        <f>S32-E33</f>
        <v/>
      </c>
      <c r="H33">
        <f>F33+G33</f>
        <v/>
      </c>
      <c r="I33">
        <f>IF(H33&lt;=$B$9,INT(($B$9-H33)/$B$7)+1,0)</f>
        <v/>
      </c>
      <c r="J33">
        <f>G33+I33*$B$7</f>
        <v/>
      </c>
      <c r="K33">
        <f>MIN(F33,C33)</f>
        <v/>
      </c>
      <c r="L33">
        <f>C33-K33</f>
        <v/>
      </c>
      <c r="M33">
        <f>F33-K33</f>
        <v/>
      </c>
      <c r="N33">
        <f>M33+J33</f>
        <v/>
      </c>
      <c r="O33">
        <f>IF(N33&lt;=$B$9,INT(($B$9-N33)/$B$7)+1,0)</f>
        <v/>
      </c>
      <c r="P33">
        <f>I33+O33</f>
        <v/>
      </c>
      <c r="Q33">
        <f>P33*$B$7</f>
        <v/>
      </c>
      <c r="R33">
        <f>M33</f>
        <v/>
      </c>
      <c r="S33">
        <f>J33+O33*$B$7</f>
        <v/>
      </c>
      <c r="T33" t="n">
        <v>748</v>
      </c>
      <c r="U33" t="n">
        <v>0</v>
      </c>
      <c r="V33">
        <f>ABS(R33-T33)</f>
        <v/>
      </c>
      <c r="W33">
        <f>ABS(L33-U33)</f>
        <v/>
      </c>
    </row>
    <row r="34">
      <c r="A34" t="n">
        <v>13</v>
      </c>
      <c r="B34" s="13" t="n">
        <v>42498</v>
      </c>
      <c r="C34" t="n">
        <v>167</v>
      </c>
      <c r="D34" t="n">
        <v>111.0636552488757</v>
      </c>
      <c r="E34">
        <f>IF(A34&lt;$B$4,0,INDEX($Q$21:$Q$48,A34-$B$4+1))</f>
        <v/>
      </c>
      <c r="F34">
        <f>R33+E34</f>
        <v/>
      </c>
      <c r="G34">
        <f>S33-E34</f>
        <v/>
      </c>
      <c r="H34">
        <f>F34+G34</f>
        <v/>
      </c>
      <c r="I34">
        <f>IF(H34&lt;=$B$9,INT(($B$9-H34)/$B$7)+1,0)</f>
        <v/>
      </c>
      <c r="J34">
        <f>G34+I34*$B$7</f>
        <v/>
      </c>
      <c r="K34">
        <f>MIN(F34,C34)</f>
        <v/>
      </c>
      <c r="L34">
        <f>C34-K34</f>
        <v/>
      </c>
      <c r="M34">
        <f>F34-K34</f>
        <v/>
      </c>
      <c r="N34">
        <f>M34+J34</f>
        <v/>
      </c>
      <c r="O34">
        <f>IF(N34&lt;=$B$9,INT(($B$9-N34)/$B$7)+1,0)</f>
        <v/>
      </c>
      <c r="P34">
        <f>I34+O34</f>
        <v/>
      </c>
      <c r="Q34">
        <f>P34*$B$7</f>
        <v/>
      </c>
      <c r="R34">
        <f>M34</f>
        <v/>
      </c>
      <c r="S34">
        <f>J34+O34*$B$7</f>
        <v/>
      </c>
      <c r="T34" t="n">
        <v>581</v>
      </c>
      <c r="U34" t="n">
        <v>0</v>
      </c>
      <c r="V34">
        <f>ABS(R34-T34)</f>
        <v/>
      </c>
      <c r="W34">
        <f>ABS(L34-U34)</f>
        <v/>
      </c>
    </row>
    <row r="35">
      <c r="A35" t="n">
        <v>14</v>
      </c>
      <c r="B35" s="13" t="n">
        <v>42499</v>
      </c>
      <c r="C35" t="n">
        <v>119</v>
      </c>
      <c r="D35" t="n">
        <v>104.4313631987452</v>
      </c>
      <c r="E35">
        <f>IF(A35&lt;$B$4,0,INDEX($Q$21:$Q$48,A35-$B$4+1))</f>
        <v/>
      </c>
      <c r="F35">
        <f>R34+E35</f>
        <v/>
      </c>
      <c r="G35">
        <f>S34-E35</f>
        <v/>
      </c>
      <c r="H35">
        <f>F35+G35</f>
        <v/>
      </c>
      <c r="I35">
        <f>IF(H35&lt;=$B$9,INT(($B$9-H35)/$B$7)+1,0)</f>
        <v/>
      </c>
      <c r="J35">
        <f>G35+I35*$B$7</f>
        <v/>
      </c>
      <c r="K35">
        <f>MIN(F35,C35)</f>
        <v/>
      </c>
      <c r="L35">
        <f>C35-K35</f>
        <v/>
      </c>
      <c r="M35">
        <f>F35-K35</f>
        <v/>
      </c>
      <c r="N35">
        <f>M35+J35</f>
        <v/>
      </c>
      <c r="O35">
        <f>IF(N35&lt;=$B$9,INT(($B$9-N35)/$B$7)+1,0)</f>
        <v/>
      </c>
      <c r="P35">
        <f>I35+O35</f>
        <v/>
      </c>
      <c r="Q35">
        <f>P35*$B$7</f>
        <v/>
      </c>
      <c r="R35">
        <f>M35</f>
        <v/>
      </c>
      <c r="S35">
        <f>J35+O35*$B$7</f>
        <v/>
      </c>
      <c r="T35" t="n">
        <v>462</v>
      </c>
      <c r="U35" t="n">
        <v>0</v>
      </c>
      <c r="V35">
        <f>ABS(R35-T35)</f>
        <v/>
      </c>
      <c r="W35">
        <f>ABS(L35-U35)</f>
        <v/>
      </c>
    </row>
    <row r="36">
      <c r="A36" t="n">
        <v>15</v>
      </c>
      <c r="B36" s="13" t="n">
        <v>42500</v>
      </c>
      <c r="C36" t="n">
        <v>119</v>
      </c>
      <c r="D36" t="n">
        <v>97.45453840351864</v>
      </c>
      <c r="E36">
        <f>IF(A36&lt;$B$4,0,INDEX($Q$21:$Q$48,A36-$B$4+1))</f>
        <v/>
      </c>
      <c r="F36">
        <f>R35+E36</f>
        <v/>
      </c>
      <c r="G36">
        <f>S35-E36</f>
        <v/>
      </c>
      <c r="H36">
        <f>F36+G36</f>
        <v/>
      </c>
      <c r="I36">
        <f>IF(H36&lt;=$B$9,INT(($B$9-H36)/$B$7)+1,0)</f>
        <v/>
      </c>
      <c r="J36">
        <f>G36+I36*$B$7</f>
        <v/>
      </c>
      <c r="K36">
        <f>MIN(F36,C36)</f>
        <v/>
      </c>
      <c r="L36">
        <f>C36-K36</f>
        <v/>
      </c>
      <c r="M36">
        <f>F36-K36</f>
        <v/>
      </c>
      <c r="N36">
        <f>M36+J36</f>
        <v/>
      </c>
      <c r="O36">
        <f>IF(N36&lt;=$B$9,INT(($B$9-N36)/$B$7)+1,0)</f>
        <v/>
      </c>
      <c r="P36">
        <f>I36+O36</f>
        <v/>
      </c>
      <c r="Q36">
        <f>P36*$B$7</f>
        <v/>
      </c>
      <c r="R36">
        <f>M36</f>
        <v/>
      </c>
      <c r="S36">
        <f>J36+O36*$B$7</f>
        <v/>
      </c>
      <c r="T36" t="n">
        <v>343</v>
      </c>
      <c r="U36" t="n">
        <v>0</v>
      </c>
      <c r="V36">
        <f>ABS(R36-T36)</f>
        <v/>
      </c>
      <c r="W36">
        <f>ABS(L36-U36)</f>
        <v/>
      </c>
    </row>
    <row r="37">
      <c r="A37" t="n">
        <v>16</v>
      </c>
      <c r="B37" s="13" t="n">
        <v>42501</v>
      </c>
      <c r="C37" t="n">
        <v>125</v>
      </c>
      <c r="D37" t="n">
        <v>86.96512118042236</v>
      </c>
      <c r="E37">
        <f>IF(A37&lt;$B$4,0,INDEX($Q$21:$Q$48,A37-$B$4+1))</f>
        <v/>
      </c>
      <c r="F37">
        <f>R36+E37</f>
        <v/>
      </c>
      <c r="G37">
        <f>S36-E37</f>
        <v/>
      </c>
      <c r="H37">
        <f>F37+G37</f>
        <v/>
      </c>
      <c r="I37">
        <f>IF(H37&lt;=$B$9,INT(($B$9-H37)/$B$7)+1,0)</f>
        <v/>
      </c>
      <c r="J37">
        <f>G37+I37*$B$7</f>
        <v/>
      </c>
      <c r="K37">
        <f>MIN(F37,C37)</f>
        <v/>
      </c>
      <c r="L37">
        <f>C37-K37</f>
        <v/>
      </c>
      <c r="M37">
        <f>F37-K37</f>
        <v/>
      </c>
      <c r="N37">
        <f>M37+J37</f>
        <v/>
      </c>
      <c r="O37">
        <f>IF(N37&lt;=$B$9,INT(($B$9-N37)/$B$7)+1,0)</f>
        <v/>
      </c>
      <c r="P37">
        <f>I37+O37</f>
        <v/>
      </c>
      <c r="Q37">
        <f>P37*$B$7</f>
        <v/>
      </c>
      <c r="R37">
        <f>M37</f>
        <v/>
      </c>
      <c r="S37">
        <f>J37+O37*$B$7</f>
        <v/>
      </c>
      <c r="T37" t="n">
        <v>218</v>
      </c>
      <c r="U37" t="n">
        <v>0</v>
      </c>
      <c r="V37">
        <f>ABS(R37-T37)</f>
        <v/>
      </c>
      <c r="W37">
        <f>ABS(L37-U37)</f>
        <v/>
      </c>
    </row>
    <row r="38">
      <c r="A38" t="n">
        <v>17</v>
      </c>
      <c r="B38" s="13" t="n">
        <v>42502</v>
      </c>
      <c r="C38" t="n">
        <v>89</v>
      </c>
      <c r="D38" t="n">
        <v>91.0685979703952</v>
      </c>
      <c r="E38">
        <f>IF(A38&lt;$B$4,0,INDEX($Q$21:$Q$48,A38-$B$4+1))</f>
        <v/>
      </c>
      <c r="F38">
        <f>R37+E38</f>
        <v/>
      </c>
      <c r="G38">
        <f>S37-E38</f>
        <v/>
      </c>
      <c r="H38">
        <f>F38+G38</f>
        <v/>
      </c>
      <c r="I38">
        <f>IF(H38&lt;=$B$9,INT(($B$9-H38)/$B$7)+1,0)</f>
        <v/>
      </c>
      <c r="J38">
        <f>G38+I38*$B$7</f>
        <v/>
      </c>
      <c r="K38">
        <f>MIN(F38,C38)</f>
        <v/>
      </c>
      <c r="L38">
        <f>C38-K38</f>
        <v/>
      </c>
      <c r="M38">
        <f>F38-K38</f>
        <v/>
      </c>
      <c r="N38">
        <f>M38+J38</f>
        <v/>
      </c>
      <c r="O38">
        <f>IF(N38&lt;=$B$9,INT(($B$9-N38)/$B$7)+1,0)</f>
        <v/>
      </c>
      <c r="P38">
        <f>I38+O38</f>
        <v/>
      </c>
      <c r="Q38">
        <f>P38*$B$7</f>
        <v/>
      </c>
      <c r="R38">
        <f>M38</f>
        <v/>
      </c>
      <c r="S38">
        <f>J38+O38*$B$7</f>
        <v/>
      </c>
      <c r="T38" t="n">
        <v>129</v>
      </c>
      <c r="U38" t="n">
        <v>0</v>
      </c>
      <c r="V38">
        <f>ABS(R38-T38)</f>
        <v/>
      </c>
      <c r="W38">
        <f>ABS(L38-U38)</f>
        <v/>
      </c>
    </row>
    <row r="39">
      <c r="A39" t="n">
        <v>18</v>
      </c>
      <c r="B39" s="13" t="n">
        <v>42503</v>
      </c>
      <c r="C39" t="n">
        <v>143</v>
      </c>
      <c r="D39" t="n">
        <v>94.43796019413531</v>
      </c>
      <c r="E39">
        <f>IF(A39&lt;$B$4,0,INDEX($Q$21:$Q$48,A39-$B$4+1))</f>
        <v/>
      </c>
      <c r="F39">
        <f>R38+E39</f>
        <v/>
      </c>
      <c r="G39">
        <f>S38-E39</f>
        <v/>
      </c>
      <c r="H39">
        <f>F39+G39</f>
        <v/>
      </c>
      <c r="I39">
        <f>IF(H39&lt;=$B$9,INT(($B$9-H39)/$B$7)+1,0)</f>
        <v/>
      </c>
      <c r="J39">
        <f>G39+I39*$B$7</f>
        <v/>
      </c>
      <c r="K39">
        <f>MIN(F39,C39)</f>
        <v/>
      </c>
      <c r="L39">
        <f>C39-K39</f>
        <v/>
      </c>
      <c r="M39">
        <f>F39-K39</f>
        <v/>
      </c>
      <c r="N39">
        <f>M39+J39</f>
        <v/>
      </c>
      <c r="O39">
        <f>IF(N39&lt;=$B$9,INT(($B$9-N39)/$B$7)+1,0)</f>
        <v/>
      </c>
      <c r="P39">
        <f>I39+O39</f>
        <v/>
      </c>
      <c r="Q39">
        <f>P39*$B$7</f>
        <v/>
      </c>
      <c r="R39">
        <f>M39</f>
        <v/>
      </c>
      <c r="S39">
        <f>J39+O39*$B$7</f>
        <v/>
      </c>
      <c r="T39" t="n">
        <v>0</v>
      </c>
      <c r="U39" t="n">
        <v>14</v>
      </c>
      <c r="V39">
        <f>ABS(R39-T39)</f>
        <v/>
      </c>
      <c r="W39">
        <f>ABS(L39-U39)</f>
        <v/>
      </c>
    </row>
    <row r="40">
      <c r="A40" t="n">
        <v>19</v>
      </c>
      <c r="B40" s="13" t="n">
        <v>42504</v>
      </c>
      <c r="C40" t="n">
        <v>156</v>
      </c>
      <c r="D40" t="n">
        <v>137.3323490825734</v>
      </c>
      <c r="E40">
        <f>IF(A40&lt;$B$4,0,INDEX($Q$21:$Q$48,A40-$B$4+1))</f>
        <v/>
      </c>
      <c r="F40">
        <f>R39+E40</f>
        <v/>
      </c>
      <c r="G40">
        <f>S39-E40</f>
        <v/>
      </c>
      <c r="H40">
        <f>F40+G40</f>
        <v/>
      </c>
      <c r="I40">
        <f>IF(H40&lt;=$B$9,INT(($B$9-H40)/$B$7)+1,0)</f>
        <v/>
      </c>
      <c r="J40">
        <f>G40+I40*$B$7</f>
        <v/>
      </c>
      <c r="K40">
        <f>MIN(F40,C40)</f>
        <v/>
      </c>
      <c r="L40">
        <f>C40-K40</f>
        <v/>
      </c>
      <c r="M40">
        <f>F40-K40</f>
        <v/>
      </c>
      <c r="N40">
        <f>M40+J40</f>
        <v/>
      </c>
      <c r="O40">
        <f>IF(N40&lt;=$B$9,INT(($B$9-N40)/$B$7)+1,0)</f>
        <v/>
      </c>
      <c r="P40">
        <f>I40+O40</f>
        <v/>
      </c>
      <c r="Q40">
        <f>P40*$B$7</f>
        <v/>
      </c>
      <c r="R40">
        <f>M40</f>
        <v/>
      </c>
      <c r="S40">
        <f>J40+O40*$B$7</f>
        <v/>
      </c>
      <c r="T40" t="n">
        <v>557</v>
      </c>
      <c r="U40" t="n">
        <v>0</v>
      </c>
      <c r="V40">
        <f>ABS(R40-T40)</f>
        <v/>
      </c>
      <c r="W40">
        <f>ABS(L40-U40)</f>
        <v/>
      </c>
    </row>
    <row r="41">
      <c r="A41" t="n">
        <v>20</v>
      </c>
      <c r="B41" s="13" t="n">
        <v>42505</v>
      </c>
      <c r="C41" t="n">
        <v>187</v>
      </c>
      <c r="D41" t="n">
        <v>105.2743942896418</v>
      </c>
      <c r="E41">
        <f>IF(A41&lt;$B$4,0,INDEX($Q$21:$Q$48,A41-$B$4+1))</f>
        <v/>
      </c>
      <c r="F41">
        <f>R40+E41</f>
        <v/>
      </c>
      <c r="G41">
        <f>S40-E41</f>
        <v/>
      </c>
      <c r="H41">
        <f>F41+G41</f>
        <v/>
      </c>
      <c r="I41">
        <f>IF(H41&lt;=$B$9,INT(($B$9-H41)/$B$7)+1,0)</f>
        <v/>
      </c>
      <c r="J41">
        <f>G41+I41*$B$7</f>
        <v/>
      </c>
      <c r="K41">
        <f>MIN(F41,C41)</f>
        <v/>
      </c>
      <c r="L41">
        <f>C41-K41</f>
        <v/>
      </c>
      <c r="M41">
        <f>F41-K41</f>
        <v/>
      </c>
      <c r="N41">
        <f>M41+J41</f>
        <v/>
      </c>
      <c r="O41">
        <f>IF(N41&lt;=$B$9,INT(($B$9-N41)/$B$7)+1,0)</f>
        <v/>
      </c>
      <c r="P41">
        <f>I41+O41</f>
        <v/>
      </c>
      <c r="Q41">
        <f>P41*$B$7</f>
        <v/>
      </c>
      <c r="R41">
        <f>M41</f>
        <v/>
      </c>
      <c r="S41">
        <f>J41+O41*$B$7</f>
        <v/>
      </c>
      <c r="T41" t="n">
        <v>370</v>
      </c>
      <c r="U41" t="n">
        <v>0</v>
      </c>
      <c r="V41">
        <f>ABS(R41-T41)</f>
        <v/>
      </c>
      <c r="W41">
        <f>ABS(L41-U41)</f>
        <v/>
      </c>
    </row>
    <row r="42">
      <c r="A42" t="n">
        <v>21</v>
      </c>
      <c r="B42" s="13" t="n">
        <v>42506</v>
      </c>
      <c r="C42" t="n">
        <v>76</v>
      </c>
      <c r="D42" t="n">
        <v>87.80316190240181</v>
      </c>
      <c r="E42">
        <f>IF(A42&lt;$B$4,0,INDEX($Q$21:$Q$48,A42-$B$4+1))</f>
        <v/>
      </c>
      <c r="F42">
        <f>R41+E42</f>
        <v/>
      </c>
      <c r="G42">
        <f>S41-E42</f>
        <v/>
      </c>
      <c r="H42">
        <f>F42+G42</f>
        <v/>
      </c>
      <c r="I42">
        <f>IF(H42&lt;=$B$9,INT(($B$9-H42)/$B$7)+1,0)</f>
        <v/>
      </c>
      <c r="J42">
        <f>G42+I42*$B$7</f>
        <v/>
      </c>
      <c r="K42">
        <f>MIN(F42,C42)</f>
        <v/>
      </c>
      <c r="L42">
        <f>C42-K42</f>
        <v/>
      </c>
      <c r="M42">
        <f>F42-K42</f>
        <v/>
      </c>
      <c r="N42">
        <f>M42+J42</f>
        <v/>
      </c>
      <c r="O42">
        <f>IF(N42&lt;=$B$9,INT(($B$9-N42)/$B$7)+1,0)</f>
        <v/>
      </c>
      <c r="P42">
        <f>I42+O42</f>
        <v/>
      </c>
      <c r="Q42">
        <f>P42*$B$7</f>
        <v/>
      </c>
      <c r="R42">
        <f>M42</f>
        <v/>
      </c>
      <c r="S42">
        <f>J42+O42*$B$7</f>
        <v/>
      </c>
      <c r="T42" t="n">
        <v>294</v>
      </c>
      <c r="U42" t="n">
        <v>0</v>
      </c>
      <c r="V42">
        <f>ABS(R42-T42)</f>
        <v/>
      </c>
      <c r="W42">
        <f>ABS(L42-U42)</f>
        <v/>
      </c>
    </row>
    <row r="43">
      <c r="A43" t="n">
        <v>22</v>
      </c>
      <c r="B43" s="13" t="n">
        <v>42507</v>
      </c>
      <c r="C43" t="n">
        <v>85</v>
      </c>
      <c r="D43" t="n">
        <v>78.26308988126367</v>
      </c>
      <c r="E43">
        <f>IF(A43&lt;$B$4,0,INDEX($Q$21:$Q$48,A43-$B$4+1))</f>
        <v/>
      </c>
      <c r="F43">
        <f>R42+E43</f>
        <v/>
      </c>
      <c r="G43">
        <f>S42-E43</f>
        <v/>
      </c>
      <c r="H43">
        <f>F43+G43</f>
        <v/>
      </c>
      <c r="I43">
        <f>IF(H43&lt;=$B$9,INT(($B$9-H43)/$B$7)+1,0)</f>
        <v/>
      </c>
      <c r="J43">
        <f>G43+I43*$B$7</f>
        <v/>
      </c>
      <c r="K43">
        <f>MIN(F43,C43)</f>
        <v/>
      </c>
      <c r="L43">
        <f>C43-K43</f>
        <v/>
      </c>
      <c r="M43">
        <f>F43-K43</f>
        <v/>
      </c>
      <c r="N43">
        <f>M43+J43</f>
        <v/>
      </c>
      <c r="O43">
        <f>IF(N43&lt;=$B$9,INT(($B$9-N43)/$B$7)+1,0)</f>
        <v/>
      </c>
      <c r="P43">
        <f>I43+O43</f>
        <v/>
      </c>
      <c r="Q43">
        <f>P43*$B$7</f>
        <v/>
      </c>
      <c r="R43">
        <f>M43</f>
        <v/>
      </c>
      <c r="S43">
        <f>J43+O43*$B$7</f>
        <v/>
      </c>
      <c r="T43" t="n">
        <v>209</v>
      </c>
      <c r="U43" t="n">
        <v>0</v>
      </c>
      <c r="V43">
        <f>ABS(R43-T43)</f>
        <v/>
      </c>
      <c r="W43">
        <f>ABS(L43-U43)</f>
        <v/>
      </c>
    </row>
    <row r="44">
      <c r="A44" t="n">
        <v>23</v>
      </c>
      <c r="B44" s="13" t="n">
        <v>42508</v>
      </c>
      <c r="C44" t="n">
        <v>69</v>
      </c>
      <c r="D44" t="n">
        <v>83.68130208653051</v>
      </c>
      <c r="E44">
        <f>IF(A44&lt;$B$4,0,INDEX($Q$21:$Q$48,A44-$B$4+1))</f>
        <v/>
      </c>
      <c r="F44">
        <f>R43+E44</f>
        <v/>
      </c>
      <c r="G44">
        <f>S43-E44</f>
        <v/>
      </c>
      <c r="H44">
        <f>F44+G44</f>
        <v/>
      </c>
      <c r="I44">
        <f>IF(H44&lt;=$B$9,INT(($B$9-H44)/$B$7)+1,0)</f>
        <v/>
      </c>
      <c r="J44">
        <f>G44+I44*$B$7</f>
        <v/>
      </c>
      <c r="K44">
        <f>MIN(F44,C44)</f>
        <v/>
      </c>
      <c r="L44">
        <f>C44-K44</f>
        <v/>
      </c>
      <c r="M44">
        <f>F44-K44</f>
        <v/>
      </c>
      <c r="N44">
        <f>M44+J44</f>
        <v/>
      </c>
      <c r="O44">
        <f>IF(N44&lt;=$B$9,INT(($B$9-N44)/$B$7)+1,0)</f>
        <v/>
      </c>
      <c r="P44">
        <f>I44+O44</f>
        <v/>
      </c>
      <c r="Q44">
        <f>P44*$B$7</f>
        <v/>
      </c>
      <c r="R44">
        <f>M44</f>
        <v/>
      </c>
      <c r="S44">
        <f>J44+O44*$B$7</f>
        <v/>
      </c>
      <c r="T44" t="n">
        <v>140</v>
      </c>
      <c r="U44" t="n">
        <v>0</v>
      </c>
      <c r="V44">
        <f>ABS(R44-T44)</f>
        <v/>
      </c>
      <c r="W44">
        <f>ABS(L44-U44)</f>
        <v/>
      </c>
    </row>
    <row r="45">
      <c r="A45" t="n">
        <v>24</v>
      </c>
      <c r="B45" s="13" t="n">
        <v>42509</v>
      </c>
      <c r="C45" t="n">
        <v>75</v>
      </c>
      <c r="D45" t="n">
        <v>78.32387092721348</v>
      </c>
      <c r="E45">
        <f>IF(A45&lt;$B$4,0,INDEX($Q$21:$Q$48,A45-$B$4+1))</f>
        <v/>
      </c>
      <c r="F45">
        <f>R44+E45</f>
        <v/>
      </c>
      <c r="G45">
        <f>S44-E45</f>
        <v/>
      </c>
      <c r="H45">
        <f>F45+G45</f>
        <v/>
      </c>
      <c r="I45">
        <f>IF(H45&lt;=$B$9,INT(($B$9-H45)/$B$7)+1,0)</f>
        <v/>
      </c>
      <c r="J45">
        <f>G45+I45*$B$7</f>
        <v/>
      </c>
      <c r="K45">
        <f>MIN(F45,C45)</f>
        <v/>
      </c>
      <c r="L45">
        <f>C45-K45</f>
        <v/>
      </c>
      <c r="M45">
        <f>F45-K45</f>
        <v/>
      </c>
      <c r="N45">
        <f>M45+J45</f>
        <v/>
      </c>
      <c r="O45">
        <f>IF(N45&lt;=$B$9,INT(($B$9-N45)/$B$7)+1,0)</f>
        <v/>
      </c>
      <c r="P45">
        <f>I45+O45</f>
        <v/>
      </c>
      <c r="Q45">
        <f>P45*$B$7</f>
        <v/>
      </c>
      <c r="R45">
        <f>M45</f>
        <v/>
      </c>
      <c r="S45">
        <f>J45+O45*$B$7</f>
        <v/>
      </c>
      <c r="T45" t="n">
        <v>65</v>
      </c>
      <c r="U45" t="n">
        <v>0</v>
      </c>
      <c r="V45">
        <f>ABS(R45-T45)</f>
        <v/>
      </c>
      <c r="W45">
        <f>ABS(L45-U45)</f>
        <v/>
      </c>
    </row>
    <row r="46">
      <c r="A46" t="n">
        <v>25</v>
      </c>
      <c r="B46" s="13" t="n">
        <v>42510</v>
      </c>
      <c r="C46" t="n">
        <v>110</v>
      </c>
      <c r="D46" t="n">
        <v>98.76733409113378</v>
      </c>
      <c r="E46">
        <f>IF(A46&lt;$B$4,0,INDEX($Q$21:$Q$48,A46-$B$4+1))</f>
        <v/>
      </c>
      <c r="F46">
        <f>R45+E46</f>
        <v/>
      </c>
      <c r="G46">
        <f>S45-E46</f>
        <v/>
      </c>
      <c r="H46">
        <f>F46+G46</f>
        <v/>
      </c>
      <c r="I46">
        <f>IF(H46&lt;=$B$9,INT(($B$9-H46)/$B$7)+1,0)</f>
        <v/>
      </c>
      <c r="J46">
        <f>G46+I46*$B$7</f>
        <v/>
      </c>
      <c r="K46">
        <f>MIN(F46,C46)</f>
        <v/>
      </c>
      <c r="L46">
        <f>C46-K46</f>
        <v/>
      </c>
      <c r="M46">
        <f>F46-K46</f>
        <v/>
      </c>
      <c r="N46">
        <f>M46+J46</f>
        <v/>
      </c>
      <c r="O46">
        <f>IF(N46&lt;=$B$9,INT(($B$9-N46)/$B$7)+1,0)</f>
        <v/>
      </c>
      <c r="P46">
        <f>I46+O46</f>
        <v/>
      </c>
      <c r="Q46">
        <f>P46*$B$7</f>
        <v/>
      </c>
      <c r="R46">
        <f>M46</f>
        <v/>
      </c>
      <c r="S46">
        <f>J46+O46*$B$7</f>
        <v/>
      </c>
      <c r="T46" t="n">
        <v>668</v>
      </c>
      <c r="U46" t="n">
        <v>0</v>
      </c>
      <c r="V46">
        <f>ABS(R46-T46)</f>
        <v/>
      </c>
      <c r="W46">
        <f>ABS(L46-U46)</f>
        <v/>
      </c>
    </row>
    <row r="47">
      <c r="A47" t="n">
        <v>26</v>
      </c>
      <c r="B47" s="13" t="n">
        <v>42511</v>
      </c>
      <c r="C47" t="n">
        <v>156</v>
      </c>
      <c r="D47" t="n">
        <v>137.5061894463246</v>
      </c>
      <c r="E47">
        <f>IF(A47&lt;$B$4,0,INDEX($Q$21:$Q$48,A47-$B$4+1))</f>
        <v/>
      </c>
      <c r="F47">
        <f>R46+E47</f>
        <v/>
      </c>
      <c r="G47">
        <f>S46-E47</f>
        <v/>
      </c>
      <c r="H47">
        <f>F47+G47</f>
        <v/>
      </c>
      <c r="I47">
        <f>IF(H47&lt;=$B$9,INT(($B$9-H47)/$B$7)+1,0)</f>
        <v/>
      </c>
      <c r="J47">
        <f>G47+I47*$B$7</f>
        <v/>
      </c>
      <c r="K47">
        <f>MIN(F47,C47)</f>
        <v/>
      </c>
      <c r="L47">
        <f>C47-K47</f>
        <v/>
      </c>
      <c r="M47">
        <f>F47-K47</f>
        <v/>
      </c>
      <c r="N47">
        <f>M47+J47</f>
        <v/>
      </c>
      <c r="O47">
        <f>IF(N47&lt;=$B$9,INT(($B$9-N47)/$B$7)+1,0)</f>
        <v/>
      </c>
      <c r="P47">
        <f>I47+O47</f>
        <v/>
      </c>
      <c r="Q47">
        <f>P47*$B$7</f>
        <v/>
      </c>
      <c r="R47">
        <f>M47</f>
        <v/>
      </c>
      <c r="S47">
        <f>J47+O47*$B$7</f>
        <v/>
      </c>
      <c r="T47" t="n">
        <v>512</v>
      </c>
      <c r="U47" t="n">
        <v>0</v>
      </c>
      <c r="V47">
        <f>ABS(R47-T47)</f>
        <v/>
      </c>
      <c r="W47">
        <f>ABS(L47-U47)</f>
        <v/>
      </c>
    </row>
    <row r="48">
      <c r="A48" t="n">
        <v>27</v>
      </c>
      <c r="B48" s="13" t="n">
        <v>42512</v>
      </c>
      <c r="C48" t="n">
        <v>99</v>
      </c>
      <c r="D48" t="n">
        <v>101.9296674289071</v>
      </c>
      <c r="E48">
        <f>IF(A48&lt;$B$4,0,INDEX($Q$21:$Q$48,A48-$B$4+1))</f>
        <v/>
      </c>
      <c r="F48">
        <f>R47+E48</f>
        <v/>
      </c>
      <c r="G48">
        <f>S47-E48</f>
        <v/>
      </c>
      <c r="H48">
        <f>F48+G48</f>
        <v/>
      </c>
      <c r="I48">
        <f>IF(H48&lt;=$B$9,INT(($B$9-H48)/$B$7)+1,0)</f>
        <v/>
      </c>
      <c r="J48">
        <f>G48+I48*$B$7</f>
        <v/>
      </c>
      <c r="K48">
        <f>MIN(F48,C48)</f>
        <v/>
      </c>
      <c r="L48">
        <f>C48-K48</f>
        <v/>
      </c>
      <c r="M48">
        <f>F48-K48</f>
        <v/>
      </c>
      <c r="N48">
        <f>M48+J48</f>
        <v/>
      </c>
      <c r="O48">
        <f>IF(N48&lt;=$B$9,INT(($B$9-N48)/$B$7)+1,0)</f>
        <v/>
      </c>
      <c r="P48">
        <f>I48+O48</f>
        <v/>
      </c>
      <c r="Q48">
        <f>P48*$B$7</f>
        <v/>
      </c>
      <c r="R48">
        <f>M48</f>
        <v/>
      </c>
      <c r="S48">
        <f>J48+O48*$B$7</f>
        <v/>
      </c>
      <c r="T48" t="n">
        <v>413</v>
      </c>
      <c r="U48" t="n">
        <v>0</v>
      </c>
      <c r="V48">
        <f>ABS(R48-T48)</f>
        <v/>
      </c>
      <c r="W48">
        <f>ABS(L48-U48)</f>
        <v/>
      </c>
    </row>
  </sheetData>
  <autoFilter ref="A20:W48"/>
  <mergeCells count="2">
    <mergeCell ref="A2:H2"/>
    <mergeCell ref="A1:H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Solver setup and definitions</t>
        </is>
      </c>
    </row>
    <row r="3" ht="72" customHeight="1">
      <c r="A3" s="2" t="inlineStr">
        <is>
          <t>Notes for the workbook. The interview write-up is reports/03-construct.md. This sheet is the Solver setup and the definitions the sheet uses.</t>
        </is>
      </c>
    </row>
    <row r="4" ht="72" customHeight="1">
      <c r="A4" s="2" t="inlineStr">
        <is>
          <t>Excel Solver was not executed. No Solver binary is installed in the environment that built this file. The safety stock values were computed by enumerating integers in construct_policy.py. Writing those values into B8 and into the Class_A safety_stock column is the record of that search. It is not a claim that Excel's Solver dialog produced them.</t>
        </is>
      </c>
    </row>
    <row r="5" ht="72" customHeight="1">
      <c r="A5" s="2" t="inlineStr">
        <is>
          <t>Example_FOODS_3_090 is the model. SafetyStock (B8) is the only decision. AvgOnHand (B11) is the objective, and it is a formula of the 28-day simulation below it. FillRate (B14) is units short divided by units demanded. The constraint is FillRate &lt; 0.05. OrderQty (B7) is ROUNDUP of mean daily lgbm times 7, at least 1. A Solver run must not change OrderQty, the lead time, the lgbm column, or the actual column.</t>
        </is>
      </c>
    </row>
    <row r="6" ht="72" customHeight="1">
      <c r="A6" s="2" t="inlineStr">
        <is>
          <t>How to set Excel Solver on the example sheet: Data &gt; Solver. Set Objective: AvgOnHand, To: Min, By Changing: SafetyStock. Constraints: SafetyStock &gt;= 0, SafetyStock integer, and FillRate under the cap. The Solver dialog offers &lt;= and not a strict &lt;. The cap in the plan is strict, so either constrain FillRate &lt;= 0.049999 or throw away a solution that lands on exactly 0.05. Make Unconstrained Variables Non-Negative can stay on. Solving method: Evolutionary. GRG Nonlinear is the wrong method: the simulation is a step function of safety stock, and GRG assumes a smooth function it can differentiate. It can stop on a flat step between two integers. Simplex LP does not apply, because lost-sales inventory is not a linear program. Evolutionary is the method that matches an integer search on a non-smooth simulation. Example_search is that integer search already done, for this one item, from 0 through a stockout-proof upper bound.</t>
        </is>
      </c>
    </row>
    <row r="7" ht="72" customHeight="1">
      <c r="A7" s="2" t="inlineStr">
        <is>
          <t>On this build, the Python choice for FOODS_3_090 is safety stock 38. The normal-loss candidate is 0, and the simulation of that candidate has fill rate 0.16327516455060415. If the candidate fill rate is 0.05 or higher, the formula missed the cap and the search raised safety stock. The candidate cell is labeled so it is not mistaken for B8.</t>
        </is>
      </c>
    </row>
    <row r="8" ht="72" customHeight="1">
      <c r="A8" s="2" t="inlineStr">
        <is>
          <t>Class_A is the record for all 558 items. The portfolio objective cell sums average on-hand. The items_missing_cap cell counts rows whose meets_cap formula is FALSE. Those two cells are the class-level objective and the class-level check. They are formulas of the recorded simulation columns, not a second optimization.</t>
        </is>
      </c>
    </row>
    <row r="9" ht="72" customHeight="1">
      <c r="A9" s="2" t="inlineStr">
        <is>
          <t>Definitions used in every sheet. Inventory position = on-hand + on-order. Lost sales, so unmet demand is not subtracted as a backorder. Review is continuous inside the day: morning, before demand, and again after demand if the position is back at the reorder point. Both orders arrive at the start of day t+7. Opening on-hand equals the reorder point and opening on-order is zero; the day-0 morning review therefore places the first order. Expected lead-time demand = mean of the item's 28 lgbm values times 7. Reorder point = that expectation plus safety stock. The simulation consumes actual. The expectation does not.</t>
        </is>
      </c>
    </row>
    <row r="10" ht="72" customHeight="1">
      <c r="A10" s="2" t="inlineStr">
        <is>
          <t>Cycle stock on the sheet is order quantity / 2. It is the textbook half-batch. The objective is the simulated average on-hand, which is not that expression. Neither number is a dollar holding cost. sell_price is not in this workbook. There is no holding-cost rate and no order cost.</t>
        </is>
      </c>
    </row>
    <row r="11" ht="72" customHeight="1">
      <c r="A11" s="2" t="inlineStr">
        <is>
          <t>Class A totals written by the same run, so the sheet and the CSV start from the same search: items 558, units demanded 88230, units short 2681.5674402151976, fill rate 0.030392921231046102, total average on-hand 14461.064128366881, total safety stock 4079, items missing the cap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53"/>
  <sheetViews>
    <sheetView workbookViewId="0">
      <pane ySplit="7" topLeftCell="A8" activePane="bottomLeft" state="frozen"/>
      <selection pane="bottomLeft" activeCell="A1" sqref="A1"/>
    </sheetView>
  </sheetViews>
  <sheetFormatPr baseColWidth="8" defaultRowHeight="15"/>
  <cols>
    <col width="42" customWidth="1" min="1" max="1"/>
    <col width="24" customWidth="1" min="2" max="2"/>
    <col width="78" customWidth="1" min="3" max="3"/>
    <col width="22" customWidth="1" min="4" max="4"/>
    <col width="22" customWidth="1" min="5" max="5"/>
    <col width="22" customWidth="1" min="6" max="6"/>
    <col width="22" customWidth="1" min="7" max="7"/>
    <col width="22" customWidth="1" min="8" max="8"/>
  </cols>
  <sheetData>
    <row r="1">
      <c r="A1" s="1" t="inlineStr">
        <is>
          <t>FOODS_3_090 safety-stock enumeration (Python)</t>
        </is>
      </c>
    </row>
    <row r="2" ht="48" customHeight="1">
      <c r="A2" s="2" t="inlineStr">
        <is>
          <t>Every integer safety stock from 0 through the stockout-proof upper bound. meets_cap is fill_rate &lt; 0.05. The chosen row is the feasible safety stock with the lowest average on-hand. A tie would keep the smaller safety stock. These are values from Python, not Excel Solver.</t>
        </is>
      </c>
    </row>
    <row r="3">
      <c r="A3" s="3" t="inlineStr">
        <is>
          <t>min_feasible_ss</t>
        </is>
      </c>
      <c r="B3">
        <f>MIN(G8:G2653)</f>
        <v/>
      </c>
      <c r="C3" t="inlineStr">
        <is>
          <t>Smallest safety stock whose shortfall is strictly under 0.05. Column G is that safety stock, or 1000000000 when the row misses the cap, so MIN skips the miss.</t>
        </is>
      </c>
    </row>
    <row r="4">
      <c r="A4" s="3" t="inlineStr">
        <is>
          <t>min_avg_on_hand_among_feasible</t>
        </is>
      </c>
      <c r="B4" s="5">
        <f>MIN(H8:H2653)</f>
        <v/>
      </c>
      <c r="C4" t="inlineStr">
        <is>
          <t>Objective among the rows that meet the cap. Column H is average on-hand on those rows only.</t>
        </is>
      </c>
    </row>
    <row r="5">
      <c r="A5" s="3" t="inlineStr">
        <is>
          <t>python_chosen_ss</t>
        </is>
      </c>
      <c r="B5" t="n">
        <v>38</v>
      </c>
      <c r="C5" t="inlineStr">
        <is>
          <t>The safety stock the script kept. It should equal B3 when the lowest on-hand is at the smallest feasible integer.</t>
        </is>
      </c>
    </row>
    <row r="6">
      <c r="A6" s="3" t="inlineStr">
        <is>
          <t>chosen_matches_min_feasible</t>
        </is>
      </c>
      <c r="B6">
        <f>B3=B5</f>
        <v/>
      </c>
    </row>
    <row r="7">
      <c r="A7" s="14" t="inlineStr">
        <is>
          <t>safety_stock</t>
        </is>
      </c>
      <c r="B7" s="14" t="inlineStr">
        <is>
          <t>units_short</t>
        </is>
      </c>
      <c r="C7" s="14" t="inlineStr">
        <is>
          <t>fill_rate</t>
        </is>
      </c>
      <c r="D7" s="14" t="inlineStr">
        <is>
          <t>avg_on_hand</t>
        </is>
      </c>
      <c r="E7" s="14" t="inlineStr">
        <is>
          <t>meets_cap</t>
        </is>
      </c>
      <c r="F7" s="14" t="inlineStr">
        <is>
          <t>is_python_choice</t>
        </is>
      </c>
      <c r="G7" s="14" t="inlineStr">
        <is>
          <t>ss_if_feasible</t>
        </is>
      </c>
      <c r="H7" s="14" t="inlineStr">
        <is>
          <t>avg_on_hand_if_feasible</t>
        </is>
      </c>
    </row>
    <row r="8">
      <c r="A8" t="n">
        <v>0</v>
      </c>
      <c r="B8" t="n">
        <v>548.1147273963782</v>
      </c>
      <c r="C8" t="n">
        <v>0.1632751645506041</v>
      </c>
      <c r="D8" t="n">
        <v>292.2295129649325</v>
      </c>
      <c r="E8">
        <f>C8&lt;0.05</f>
        <v/>
      </c>
      <c r="F8">
        <f>A8=$B$5</f>
        <v/>
      </c>
      <c r="G8">
        <f>IF(E8,A8,10^9)</f>
        <v/>
      </c>
      <c r="H8">
        <f>IF(E8,D8,10^9)</f>
        <v/>
      </c>
    </row>
    <row r="9">
      <c r="A9" t="n">
        <v>1</v>
      </c>
      <c r="B9" t="n">
        <v>360.1147273963782</v>
      </c>
      <c r="C9" t="n">
        <v>0.1072727814704731</v>
      </c>
      <c r="D9" t="n">
        <v>363.9795129649324</v>
      </c>
      <c r="E9">
        <f>C9&lt;0.05</f>
        <v/>
      </c>
      <c r="F9">
        <f>A9=$B$5</f>
        <v/>
      </c>
      <c r="G9">
        <f>IF(E9,A9,10^9)</f>
        <v/>
      </c>
      <c r="H9">
        <f>IF(E9,D9,10^9)</f>
        <v/>
      </c>
    </row>
    <row r="10">
      <c r="A10" t="n">
        <v>2</v>
      </c>
      <c r="B10" t="n">
        <v>359.1147273963782</v>
      </c>
      <c r="C10" t="n">
        <v>0.1069748964540894</v>
      </c>
      <c r="D10" t="n">
        <v>364.1580843935039</v>
      </c>
      <c r="E10">
        <f>C10&lt;0.05</f>
        <v/>
      </c>
      <c r="F10">
        <f>A10=$B$5</f>
        <v/>
      </c>
      <c r="G10">
        <f>IF(E10,A10,10^9)</f>
        <v/>
      </c>
      <c r="H10">
        <f>IF(E10,D10,10^9)</f>
        <v/>
      </c>
    </row>
    <row r="11">
      <c r="A11" t="n">
        <v>3</v>
      </c>
      <c r="B11" t="n">
        <v>358.1147273963782</v>
      </c>
      <c r="C11" t="n">
        <v>0.1066770114377057</v>
      </c>
      <c r="D11" t="n">
        <v>364.3366558220753</v>
      </c>
      <c r="E11">
        <f>C11&lt;0.05</f>
        <v/>
      </c>
      <c r="F11">
        <f>A11=$B$5</f>
        <v/>
      </c>
      <c r="G11">
        <f>IF(E11,A11,10^9)</f>
        <v/>
      </c>
      <c r="H11">
        <f>IF(E11,D11,10^9)</f>
        <v/>
      </c>
    </row>
    <row r="12">
      <c r="A12" t="n">
        <v>4</v>
      </c>
      <c r="B12" t="n">
        <v>357.1147273963782</v>
      </c>
      <c r="C12" t="n">
        <v>0.1063791264213221</v>
      </c>
      <c r="D12" t="n">
        <v>364.5152272506467</v>
      </c>
      <c r="E12">
        <f>C12&lt;0.05</f>
        <v/>
      </c>
      <c r="F12">
        <f>A12=$B$5</f>
        <v/>
      </c>
      <c r="G12">
        <f>IF(E12,A12,10^9)</f>
        <v/>
      </c>
      <c r="H12">
        <f>IF(E12,D12,10^9)</f>
        <v/>
      </c>
    </row>
    <row r="13">
      <c r="A13" t="n">
        <v>5</v>
      </c>
      <c r="B13" t="n">
        <v>356.1147273963782</v>
      </c>
      <c r="C13" t="n">
        <v>0.1060812414049384</v>
      </c>
      <c r="D13" t="n">
        <v>364.6937986792182</v>
      </c>
      <c r="E13">
        <f>C13&lt;0.05</f>
        <v/>
      </c>
      <c r="F13">
        <f>A13=$B$5</f>
        <v/>
      </c>
      <c r="G13">
        <f>IF(E13,A13,10^9)</f>
        <v/>
      </c>
      <c r="H13">
        <f>IF(E13,D13,10^9)</f>
        <v/>
      </c>
    </row>
    <row r="14">
      <c r="A14" t="n">
        <v>6</v>
      </c>
      <c r="B14" t="n">
        <v>355.1147273963782</v>
      </c>
      <c r="C14" t="n">
        <v>0.1057833563885547</v>
      </c>
      <c r="D14" t="n">
        <v>364.8723701077896</v>
      </c>
      <c r="E14">
        <f>C14&lt;0.05</f>
        <v/>
      </c>
      <c r="F14">
        <f>A14=$B$5</f>
        <v/>
      </c>
      <c r="G14">
        <f>IF(E14,A14,10^9)</f>
        <v/>
      </c>
      <c r="H14">
        <f>IF(E14,D14,10^9)</f>
        <v/>
      </c>
    </row>
    <row r="15">
      <c r="A15" t="n">
        <v>7</v>
      </c>
      <c r="B15" t="n">
        <v>354.1147273963782</v>
      </c>
      <c r="C15" t="n">
        <v>0.105485471372171</v>
      </c>
      <c r="D15" t="n">
        <v>365.050941536361</v>
      </c>
      <c r="E15">
        <f>C15&lt;0.05</f>
        <v/>
      </c>
      <c r="F15">
        <f>A15=$B$5</f>
        <v/>
      </c>
      <c r="G15">
        <f>IF(E15,A15,10^9)</f>
        <v/>
      </c>
      <c r="H15">
        <f>IF(E15,D15,10^9)</f>
        <v/>
      </c>
    </row>
    <row r="16">
      <c r="A16" t="n">
        <v>8</v>
      </c>
      <c r="B16" t="n">
        <v>353.1147273963782</v>
      </c>
      <c r="C16" t="n">
        <v>0.1051875863557874</v>
      </c>
      <c r="D16" t="n">
        <v>365.2295129649324</v>
      </c>
      <c r="E16">
        <f>C16&lt;0.05</f>
        <v/>
      </c>
      <c r="F16">
        <f>A16=$B$5</f>
        <v/>
      </c>
      <c r="G16">
        <f>IF(E16,A16,10^9)</f>
        <v/>
      </c>
      <c r="H16">
        <f>IF(E16,D16,10^9)</f>
        <v/>
      </c>
    </row>
    <row r="17">
      <c r="A17" t="n">
        <v>9</v>
      </c>
      <c r="B17" t="n">
        <v>352.1147273963782</v>
      </c>
      <c r="C17" t="n">
        <v>0.1048897013394037</v>
      </c>
      <c r="D17" t="n">
        <v>365.4080843935039</v>
      </c>
      <c r="E17">
        <f>C17&lt;0.05</f>
        <v/>
      </c>
      <c r="F17">
        <f>A17=$B$5</f>
        <v/>
      </c>
      <c r="G17">
        <f>IF(E17,A17,10^9)</f>
        <v/>
      </c>
      <c r="H17">
        <f>IF(E17,D17,10^9)</f>
        <v/>
      </c>
    </row>
    <row r="18">
      <c r="A18" t="n">
        <v>10</v>
      </c>
      <c r="B18" t="n">
        <v>351.1147273963782</v>
      </c>
      <c r="C18" t="n">
        <v>0.10459181632302</v>
      </c>
      <c r="D18" t="n">
        <v>365.5866558220753</v>
      </c>
      <c r="E18">
        <f>C18&lt;0.05</f>
        <v/>
      </c>
      <c r="F18">
        <f>A18=$B$5</f>
        <v/>
      </c>
      <c r="G18">
        <f>IF(E18,A18,10^9)</f>
        <v/>
      </c>
      <c r="H18">
        <f>IF(E18,D18,10^9)</f>
        <v/>
      </c>
    </row>
    <row r="19">
      <c r="A19" t="n">
        <v>11</v>
      </c>
      <c r="B19" t="n">
        <v>350.1147273963782</v>
      </c>
      <c r="C19" t="n">
        <v>0.1042939313066363</v>
      </c>
      <c r="D19" t="n">
        <v>365.7652272506467</v>
      </c>
      <c r="E19">
        <f>C19&lt;0.05</f>
        <v/>
      </c>
      <c r="F19">
        <f>A19=$B$5</f>
        <v/>
      </c>
      <c r="G19">
        <f>IF(E19,A19,10^9)</f>
        <v/>
      </c>
      <c r="H19">
        <f>IF(E19,D19,10^9)</f>
        <v/>
      </c>
    </row>
    <row r="20">
      <c r="A20" t="n">
        <v>12</v>
      </c>
      <c r="B20" t="n">
        <v>349.1147273963782</v>
      </c>
      <c r="C20" t="n">
        <v>0.1039960462902527</v>
      </c>
      <c r="D20" t="n">
        <v>365.9437986792182</v>
      </c>
      <c r="E20">
        <f>C20&lt;0.05</f>
        <v/>
      </c>
      <c r="F20">
        <f>A20=$B$5</f>
        <v/>
      </c>
      <c r="G20">
        <f>IF(E20,A20,10^9)</f>
        <v/>
      </c>
      <c r="H20">
        <f>IF(E20,D20,10^9)</f>
        <v/>
      </c>
    </row>
    <row r="21">
      <c r="A21" t="n">
        <v>13</v>
      </c>
      <c r="B21" t="n">
        <v>348.1147273963782</v>
      </c>
      <c r="C21" t="n">
        <v>0.103698161273869</v>
      </c>
      <c r="D21" t="n">
        <v>366.1223701077896</v>
      </c>
      <c r="E21">
        <f>C21&lt;0.05</f>
        <v/>
      </c>
      <c r="F21">
        <f>A21=$B$5</f>
        <v/>
      </c>
      <c r="G21">
        <f>IF(E21,A21,10^9)</f>
        <v/>
      </c>
      <c r="H21">
        <f>IF(E21,D21,10^9)</f>
        <v/>
      </c>
    </row>
    <row r="22">
      <c r="A22" t="n">
        <v>14</v>
      </c>
      <c r="B22" t="n">
        <v>347.1147273963782</v>
      </c>
      <c r="C22" t="n">
        <v>0.1034002762574853</v>
      </c>
      <c r="D22" t="n">
        <v>366.300941536361</v>
      </c>
      <c r="E22">
        <f>C22&lt;0.05</f>
        <v/>
      </c>
      <c r="F22">
        <f>A22=$B$5</f>
        <v/>
      </c>
      <c r="G22">
        <f>IF(E22,A22,10^9)</f>
        <v/>
      </c>
      <c r="H22">
        <f>IF(E22,D22,10^9)</f>
        <v/>
      </c>
    </row>
    <row r="23">
      <c r="A23" t="n">
        <v>15</v>
      </c>
      <c r="B23" t="n">
        <v>346.1147273963782</v>
      </c>
      <c r="C23" t="n">
        <v>0.1031023912411016</v>
      </c>
      <c r="D23" t="n">
        <v>366.4795129649324</v>
      </c>
      <c r="E23">
        <f>C23&lt;0.05</f>
        <v/>
      </c>
      <c r="F23">
        <f>A23=$B$5</f>
        <v/>
      </c>
      <c r="G23">
        <f>IF(E23,A23,10^9)</f>
        <v/>
      </c>
      <c r="H23">
        <f>IF(E23,D23,10^9)</f>
        <v/>
      </c>
    </row>
    <row r="24">
      <c r="A24" t="n">
        <v>16</v>
      </c>
      <c r="B24" t="n">
        <v>345.1147273963782</v>
      </c>
      <c r="C24" t="n">
        <v>0.102804506224718</v>
      </c>
      <c r="D24" t="n">
        <v>366.6580843935039</v>
      </c>
      <c r="E24">
        <f>C24&lt;0.05</f>
        <v/>
      </c>
      <c r="F24">
        <f>A24=$B$5</f>
        <v/>
      </c>
      <c r="G24">
        <f>IF(E24,A24,10^9)</f>
        <v/>
      </c>
      <c r="H24">
        <f>IF(E24,D24,10^9)</f>
        <v/>
      </c>
    </row>
    <row r="25">
      <c r="A25" t="n">
        <v>17</v>
      </c>
      <c r="B25" t="n">
        <v>344.1147273963782</v>
      </c>
      <c r="C25" t="n">
        <v>0.1025066212083343</v>
      </c>
      <c r="D25" t="n">
        <v>366.8366558220753</v>
      </c>
      <c r="E25">
        <f>C25&lt;0.05</f>
        <v/>
      </c>
      <c r="F25">
        <f>A25=$B$5</f>
        <v/>
      </c>
      <c r="G25">
        <f>IF(E25,A25,10^9)</f>
        <v/>
      </c>
      <c r="H25">
        <f>IF(E25,D25,10^9)</f>
        <v/>
      </c>
    </row>
    <row r="26">
      <c r="A26" t="n">
        <v>18</v>
      </c>
      <c r="B26" t="n">
        <v>343.1147273963782</v>
      </c>
      <c r="C26" t="n">
        <v>0.1022087361919506</v>
      </c>
      <c r="D26" t="n">
        <v>367.0152272506467</v>
      </c>
      <c r="E26">
        <f>C26&lt;0.05</f>
        <v/>
      </c>
      <c r="F26">
        <f>A26=$B$5</f>
        <v/>
      </c>
      <c r="G26">
        <f>IF(E26,A26,10^9)</f>
        <v/>
      </c>
      <c r="H26">
        <f>IF(E26,D26,10^9)</f>
        <v/>
      </c>
    </row>
    <row r="27">
      <c r="A27" t="n">
        <v>19</v>
      </c>
      <c r="B27" t="n">
        <v>342.1147273963782</v>
      </c>
      <c r="C27" t="n">
        <v>0.1019108511755669</v>
      </c>
      <c r="D27" t="n">
        <v>367.1937986792182</v>
      </c>
      <c r="E27">
        <f>C27&lt;0.05</f>
        <v/>
      </c>
      <c r="F27">
        <f>A27=$B$5</f>
        <v/>
      </c>
      <c r="G27">
        <f>IF(E27,A27,10^9)</f>
        <v/>
      </c>
      <c r="H27">
        <f>IF(E27,D27,10^9)</f>
        <v/>
      </c>
    </row>
    <row r="28">
      <c r="A28" t="n">
        <v>20</v>
      </c>
      <c r="B28" t="n">
        <v>341.1147273963782</v>
      </c>
      <c r="C28" t="n">
        <v>0.1016129661591832</v>
      </c>
      <c r="D28" t="n">
        <v>367.3723701077896</v>
      </c>
      <c r="E28">
        <f>C28&lt;0.05</f>
        <v/>
      </c>
      <c r="F28">
        <f>A28=$B$5</f>
        <v/>
      </c>
      <c r="G28">
        <f>IF(E28,A28,10^9)</f>
        <v/>
      </c>
      <c r="H28">
        <f>IF(E28,D28,10^9)</f>
        <v/>
      </c>
    </row>
    <row r="29">
      <c r="A29" t="n">
        <v>21</v>
      </c>
      <c r="B29" t="n">
        <v>340.1147273963782</v>
      </c>
      <c r="C29" t="n">
        <v>0.1013150811427996</v>
      </c>
      <c r="D29" t="n">
        <v>367.550941536361</v>
      </c>
      <c r="E29">
        <f>C29&lt;0.05</f>
        <v/>
      </c>
      <c r="F29">
        <f>A29=$B$5</f>
        <v/>
      </c>
      <c r="G29">
        <f>IF(E29,A29,10^9)</f>
        <v/>
      </c>
      <c r="H29">
        <f>IF(E29,D29,10^9)</f>
        <v/>
      </c>
    </row>
    <row r="30">
      <c r="A30" t="n">
        <v>22</v>
      </c>
      <c r="B30" t="n">
        <v>339.1147273963782</v>
      </c>
      <c r="C30" t="n">
        <v>0.1010171961264159</v>
      </c>
      <c r="D30" t="n">
        <v>367.7295129649324</v>
      </c>
      <c r="E30">
        <f>C30&lt;0.05</f>
        <v/>
      </c>
      <c r="F30">
        <f>A30=$B$5</f>
        <v/>
      </c>
      <c r="G30">
        <f>IF(E30,A30,10^9)</f>
        <v/>
      </c>
      <c r="H30">
        <f>IF(E30,D30,10^9)</f>
        <v/>
      </c>
    </row>
    <row r="31">
      <c r="A31" t="n">
        <v>23</v>
      </c>
      <c r="B31" t="n">
        <v>338.1147273963782</v>
      </c>
      <c r="C31" t="n">
        <v>0.1007193111100322</v>
      </c>
      <c r="D31" t="n">
        <v>367.9080843935039</v>
      </c>
      <c r="E31">
        <f>C31&lt;0.05</f>
        <v/>
      </c>
      <c r="F31">
        <f>A31=$B$5</f>
        <v/>
      </c>
      <c r="G31">
        <f>IF(E31,A31,10^9)</f>
        <v/>
      </c>
      <c r="H31">
        <f>IF(E31,D31,10^9)</f>
        <v/>
      </c>
    </row>
    <row r="32">
      <c r="A32" t="n">
        <v>24</v>
      </c>
      <c r="B32" t="n">
        <v>337.1147273963782</v>
      </c>
      <c r="C32" t="n">
        <v>0.1004214260936485</v>
      </c>
      <c r="D32" t="n">
        <v>368.0866558220753</v>
      </c>
      <c r="E32">
        <f>C32&lt;0.05</f>
        <v/>
      </c>
      <c r="F32">
        <f>A32=$B$5</f>
        <v/>
      </c>
      <c r="G32">
        <f>IF(E32,A32,10^9)</f>
        <v/>
      </c>
      <c r="H32">
        <f>IF(E32,D32,10^9)</f>
        <v/>
      </c>
    </row>
    <row r="33">
      <c r="A33" t="n">
        <v>25</v>
      </c>
      <c r="B33" t="n">
        <v>336.1147273963782</v>
      </c>
      <c r="C33" t="n">
        <v>0.1001235410772649</v>
      </c>
      <c r="D33" t="n">
        <v>368.2652272506467</v>
      </c>
      <c r="E33">
        <f>C33&lt;0.05</f>
        <v/>
      </c>
      <c r="F33">
        <f>A33=$B$5</f>
        <v/>
      </c>
      <c r="G33">
        <f>IF(E33,A33,10^9)</f>
        <v/>
      </c>
      <c r="H33">
        <f>IF(E33,D33,10^9)</f>
        <v/>
      </c>
    </row>
    <row r="34">
      <c r="A34" t="n">
        <v>26</v>
      </c>
      <c r="B34" t="n">
        <v>335.1147273963782</v>
      </c>
      <c r="C34" t="n">
        <v>0.09982565606088119</v>
      </c>
      <c r="D34" t="n">
        <v>368.4437986792182</v>
      </c>
      <c r="E34">
        <f>C34&lt;0.05</f>
        <v/>
      </c>
      <c r="F34">
        <f>A34=$B$5</f>
        <v/>
      </c>
      <c r="G34">
        <f>IF(E34,A34,10^9)</f>
        <v/>
      </c>
      <c r="H34">
        <f>IF(E34,D34,10^9)</f>
        <v/>
      </c>
    </row>
    <row r="35">
      <c r="A35" t="n">
        <v>27</v>
      </c>
      <c r="B35" t="n">
        <v>334.1147273963782</v>
      </c>
      <c r="C35" t="n">
        <v>0.09952777104449752</v>
      </c>
      <c r="D35" t="n">
        <v>368.6223701077896</v>
      </c>
      <c r="E35">
        <f>C35&lt;0.05</f>
        <v/>
      </c>
      <c r="F35">
        <f>A35=$B$5</f>
        <v/>
      </c>
      <c r="G35">
        <f>IF(E35,A35,10^9)</f>
        <v/>
      </c>
      <c r="H35">
        <f>IF(E35,D35,10^9)</f>
        <v/>
      </c>
    </row>
    <row r="36">
      <c r="A36" t="n">
        <v>28</v>
      </c>
      <c r="B36" t="n">
        <v>333.1147273963782</v>
      </c>
      <c r="C36" t="n">
        <v>0.09922988602811383</v>
      </c>
      <c r="D36" t="n">
        <v>368.800941536361</v>
      </c>
      <c r="E36">
        <f>C36&lt;0.05</f>
        <v/>
      </c>
      <c r="F36">
        <f>A36=$B$5</f>
        <v/>
      </c>
      <c r="G36">
        <f>IF(E36,A36,10^9)</f>
        <v/>
      </c>
      <c r="H36">
        <f>IF(E36,D36,10^9)</f>
        <v/>
      </c>
    </row>
    <row r="37">
      <c r="A37" t="n">
        <v>29</v>
      </c>
      <c r="B37" t="n">
        <v>332.1147273963782</v>
      </c>
      <c r="C37" t="n">
        <v>0.09893200101173016</v>
      </c>
      <c r="D37" t="n">
        <v>368.9795129649324</v>
      </c>
      <c r="E37">
        <f>C37&lt;0.05</f>
        <v/>
      </c>
      <c r="F37">
        <f>A37=$B$5</f>
        <v/>
      </c>
      <c r="G37">
        <f>IF(E37,A37,10^9)</f>
        <v/>
      </c>
      <c r="H37">
        <f>IF(E37,D37,10^9)</f>
        <v/>
      </c>
    </row>
    <row r="38">
      <c r="A38" t="n">
        <v>30</v>
      </c>
      <c r="B38" t="n">
        <v>331.1147273963782</v>
      </c>
      <c r="C38" t="n">
        <v>0.09863411599534648</v>
      </c>
      <c r="D38" t="n">
        <v>369.1580843935039</v>
      </c>
      <c r="E38">
        <f>C38&lt;0.05</f>
        <v/>
      </c>
      <c r="F38">
        <f>A38=$B$5</f>
        <v/>
      </c>
      <c r="G38">
        <f>IF(E38,A38,10^9)</f>
        <v/>
      </c>
      <c r="H38">
        <f>IF(E38,D38,10^9)</f>
        <v/>
      </c>
    </row>
    <row r="39">
      <c r="A39" t="n">
        <v>31</v>
      </c>
      <c r="B39" t="n">
        <v>330.1147273963782</v>
      </c>
      <c r="C39" t="n">
        <v>0.09833623097896281</v>
      </c>
      <c r="D39" t="n">
        <v>369.3366558220753</v>
      </c>
      <c r="E39">
        <f>C39&lt;0.05</f>
        <v/>
      </c>
      <c r="F39">
        <f>A39=$B$5</f>
        <v/>
      </c>
      <c r="G39">
        <f>IF(E39,A39,10^9)</f>
        <v/>
      </c>
      <c r="H39">
        <f>IF(E39,D39,10^9)</f>
        <v/>
      </c>
    </row>
    <row r="40">
      <c r="A40" t="n">
        <v>32</v>
      </c>
      <c r="B40" t="n">
        <v>329.1147273963782</v>
      </c>
      <c r="C40" t="n">
        <v>0.09803834596257914</v>
      </c>
      <c r="D40" t="n">
        <v>369.5152272506467</v>
      </c>
      <c r="E40">
        <f>C40&lt;0.05</f>
        <v/>
      </c>
      <c r="F40">
        <f>A40=$B$5</f>
        <v/>
      </c>
      <c r="G40">
        <f>IF(E40,A40,10^9)</f>
        <v/>
      </c>
      <c r="H40">
        <f>IF(E40,D40,10^9)</f>
        <v/>
      </c>
    </row>
    <row r="41">
      <c r="A41" t="n">
        <v>33</v>
      </c>
      <c r="B41" t="n">
        <v>328.1147273963782</v>
      </c>
      <c r="C41" t="n">
        <v>0.09774046094619546</v>
      </c>
      <c r="D41" t="n">
        <v>369.6937986792182</v>
      </c>
      <c r="E41">
        <f>C41&lt;0.05</f>
        <v/>
      </c>
      <c r="F41">
        <f>A41=$B$5</f>
        <v/>
      </c>
      <c r="G41">
        <f>IF(E41,A41,10^9)</f>
        <v/>
      </c>
      <c r="H41">
        <f>IF(E41,D41,10^9)</f>
        <v/>
      </c>
    </row>
    <row r="42">
      <c r="A42" t="n">
        <v>34</v>
      </c>
      <c r="B42" t="n">
        <v>327.1147273963782</v>
      </c>
      <c r="C42" t="n">
        <v>0.09744257592981179</v>
      </c>
      <c r="D42" t="n">
        <v>369.8723701077896</v>
      </c>
      <c r="E42">
        <f>C42&lt;0.05</f>
        <v/>
      </c>
      <c r="F42">
        <f>A42=$B$5</f>
        <v/>
      </c>
      <c r="G42">
        <f>IF(E42,A42,10^9)</f>
        <v/>
      </c>
      <c r="H42">
        <f>IF(E42,D42,10^9)</f>
        <v/>
      </c>
    </row>
    <row r="43">
      <c r="A43" t="n">
        <v>35</v>
      </c>
      <c r="B43" t="n">
        <v>326.1147273963782</v>
      </c>
      <c r="C43" t="n">
        <v>0.0971446909134281</v>
      </c>
      <c r="D43" t="n">
        <v>370.050941536361</v>
      </c>
      <c r="E43">
        <f>C43&lt;0.05</f>
        <v/>
      </c>
      <c r="F43">
        <f>A43=$B$5</f>
        <v/>
      </c>
      <c r="G43">
        <f>IF(E43,A43,10^9)</f>
        <v/>
      </c>
      <c r="H43">
        <f>IF(E43,D43,10^9)</f>
        <v/>
      </c>
    </row>
    <row r="44">
      <c r="A44" t="n">
        <v>36</v>
      </c>
      <c r="B44" t="n">
        <v>169.1147273963782</v>
      </c>
      <c r="C44" t="n">
        <v>0.05037674334119099</v>
      </c>
      <c r="D44" t="n">
        <v>345.550941536361</v>
      </c>
      <c r="E44">
        <f>C44&lt;0.05</f>
        <v/>
      </c>
      <c r="F44">
        <f>A44=$B$5</f>
        <v/>
      </c>
      <c r="G44">
        <f>IF(E44,A44,10^9)</f>
        <v/>
      </c>
      <c r="H44">
        <f>IF(E44,D44,10^9)</f>
        <v/>
      </c>
    </row>
    <row r="45">
      <c r="A45" t="n">
        <v>37</v>
      </c>
      <c r="B45" t="n">
        <v>168.1147273963782</v>
      </c>
      <c r="C45" t="n">
        <v>0.05007885832480732</v>
      </c>
      <c r="D45" t="n">
        <v>345.7295129649324</v>
      </c>
      <c r="E45">
        <f>C45&lt;0.05</f>
        <v/>
      </c>
      <c r="F45">
        <f>A45=$B$5</f>
        <v/>
      </c>
      <c r="G45">
        <f>IF(E45,A45,10^9)</f>
        <v/>
      </c>
      <c r="H45">
        <f>IF(E45,D45,10^9)</f>
        <v/>
      </c>
    </row>
    <row r="46">
      <c r="A46" s="15" t="n">
        <v>38</v>
      </c>
      <c r="B46" s="15" t="n">
        <v>167.1147273963782</v>
      </c>
      <c r="C46" s="15" t="n">
        <v>0.04978097330842364</v>
      </c>
      <c r="D46" s="15" t="n">
        <v>345.9080843935039</v>
      </c>
      <c r="E46" s="15">
        <f>C46&lt;0.05</f>
        <v/>
      </c>
      <c r="F46" s="15">
        <f>A46=$B$5</f>
        <v/>
      </c>
      <c r="G46">
        <f>IF(E46,A46,10^9)</f>
        <v/>
      </c>
      <c r="H46">
        <f>IF(E46,D46,10^9)</f>
        <v/>
      </c>
    </row>
    <row r="47">
      <c r="A47" t="n">
        <v>39</v>
      </c>
      <c r="B47" t="n">
        <v>166.1147273963782</v>
      </c>
      <c r="C47" t="n">
        <v>0.04948308829203996</v>
      </c>
      <c r="D47" t="n">
        <v>346.0866558220753</v>
      </c>
      <c r="E47">
        <f>C47&lt;0.05</f>
        <v/>
      </c>
      <c r="F47">
        <f>A47=$B$5</f>
        <v/>
      </c>
      <c r="G47">
        <f>IF(E47,A47,10^9)</f>
        <v/>
      </c>
      <c r="H47">
        <f>IF(E47,D47,10^9)</f>
        <v/>
      </c>
    </row>
    <row r="48">
      <c r="A48" t="n">
        <v>40</v>
      </c>
      <c r="B48" t="n">
        <v>165.1147273963782</v>
      </c>
      <c r="C48" t="n">
        <v>0.04918520327565629</v>
      </c>
      <c r="D48" t="n">
        <v>346.2652272506467</v>
      </c>
      <c r="E48">
        <f>C48&lt;0.05</f>
        <v/>
      </c>
      <c r="F48">
        <f>A48=$B$5</f>
        <v/>
      </c>
      <c r="G48">
        <f>IF(E48,A48,10^9)</f>
        <v/>
      </c>
      <c r="H48">
        <f>IF(E48,D48,10^9)</f>
        <v/>
      </c>
    </row>
    <row r="49">
      <c r="A49" t="n">
        <v>41</v>
      </c>
      <c r="B49" t="n">
        <v>164.1147273963782</v>
      </c>
      <c r="C49" t="n">
        <v>0.04888731825927261</v>
      </c>
      <c r="D49" t="n">
        <v>346.4437986792182</v>
      </c>
      <c r="E49">
        <f>C49&lt;0.05</f>
        <v/>
      </c>
      <c r="F49">
        <f>A49=$B$5</f>
        <v/>
      </c>
      <c r="G49">
        <f>IF(E49,A49,10^9)</f>
        <v/>
      </c>
      <c r="H49">
        <f>IF(E49,D49,10^9)</f>
        <v/>
      </c>
    </row>
    <row r="50">
      <c r="A50" t="n">
        <v>42</v>
      </c>
      <c r="B50" t="n">
        <v>163.1147273963782</v>
      </c>
      <c r="C50" t="n">
        <v>0.04858943324288893</v>
      </c>
      <c r="D50" t="n">
        <v>346.6223701077896</v>
      </c>
      <c r="E50">
        <f>C50&lt;0.05</f>
        <v/>
      </c>
      <c r="F50">
        <f>A50=$B$5</f>
        <v/>
      </c>
      <c r="G50">
        <f>IF(E50,A50,10^9)</f>
        <v/>
      </c>
      <c r="H50">
        <f>IF(E50,D50,10^9)</f>
        <v/>
      </c>
    </row>
    <row r="51">
      <c r="A51" t="n">
        <v>43</v>
      </c>
      <c r="B51" t="n">
        <v>162.1147273963782</v>
      </c>
      <c r="C51" t="n">
        <v>0.04829154822650526</v>
      </c>
      <c r="D51" t="n">
        <v>346.800941536361</v>
      </c>
      <c r="E51">
        <f>C51&lt;0.05</f>
        <v/>
      </c>
      <c r="F51">
        <f>A51=$B$5</f>
        <v/>
      </c>
      <c r="G51">
        <f>IF(E51,A51,10^9)</f>
        <v/>
      </c>
      <c r="H51">
        <f>IF(E51,D51,10^9)</f>
        <v/>
      </c>
    </row>
    <row r="52">
      <c r="A52" t="n">
        <v>44</v>
      </c>
      <c r="B52" t="n">
        <v>161.1147273963782</v>
      </c>
      <c r="C52" t="n">
        <v>0.04799366321012159</v>
      </c>
      <c r="D52" t="n">
        <v>346.9795129649324</v>
      </c>
      <c r="E52">
        <f>C52&lt;0.05</f>
        <v/>
      </c>
      <c r="F52">
        <f>A52=$B$5</f>
        <v/>
      </c>
      <c r="G52">
        <f>IF(E52,A52,10^9)</f>
        <v/>
      </c>
      <c r="H52">
        <f>IF(E52,D52,10^9)</f>
        <v/>
      </c>
    </row>
    <row r="53">
      <c r="A53" t="n">
        <v>45</v>
      </c>
      <c r="B53" t="n">
        <v>160.1147273963782</v>
      </c>
      <c r="C53" t="n">
        <v>0.04769577819373791</v>
      </c>
      <c r="D53" t="n">
        <v>347.1580843935039</v>
      </c>
      <c r="E53">
        <f>C53&lt;0.05</f>
        <v/>
      </c>
      <c r="F53">
        <f>A53=$B$5</f>
        <v/>
      </c>
      <c r="G53">
        <f>IF(E53,A53,10^9)</f>
        <v/>
      </c>
      <c r="H53">
        <f>IF(E53,D53,10^9)</f>
        <v/>
      </c>
    </row>
    <row r="54">
      <c r="A54" t="n">
        <v>46</v>
      </c>
      <c r="B54" t="n">
        <v>159.1147273963782</v>
      </c>
      <c r="C54" t="n">
        <v>0.04739789317735423</v>
      </c>
      <c r="D54" t="n">
        <v>347.3366558220753</v>
      </c>
      <c r="E54">
        <f>C54&lt;0.05</f>
        <v/>
      </c>
      <c r="F54">
        <f>A54=$B$5</f>
        <v/>
      </c>
      <c r="G54">
        <f>IF(E54,A54,10^9)</f>
        <v/>
      </c>
      <c r="H54">
        <f>IF(E54,D54,10^9)</f>
        <v/>
      </c>
    </row>
    <row r="55">
      <c r="A55" t="n">
        <v>47</v>
      </c>
      <c r="B55" t="n">
        <v>158.1147273963782</v>
      </c>
      <c r="C55" t="n">
        <v>0.04710000816097056</v>
      </c>
      <c r="D55" t="n">
        <v>347.5152272506467</v>
      </c>
      <c r="E55">
        <f>C55&lt;0.05</f>
        <v/>
      </c>
      <c r="F55">
        <f>A55=$B$5</f>
        <v/>
      </c>
      <c r="G55">
        <f>IF(E55,A55,10^9)</f>
        <v/>
      </c>
      <c r="H55">
        <f>IF(E55,D55,10^9)</f>
        <v/>
      </c>
    </row>
    <row r="56">
      <c r="A56" t="n">
        <v>48</v>
      </c>
      <c r="B56" t="n">
        <v>157.1147273963782</v>
      </c>
      <c r="C56" t="n">
        <v>0.04680212314458688</v>
      </c>
      <c r="D56" t="n">
        <v>347.6937986792182</v>
      </c>
      <c r="E56">
        <f>C56&lt;0.05</f>
        <v/>
      </c>
      <c r="F56">
        <f>A56=$B$5</f>
        <v/>
      </c>
      <c r="G56">
        <f>IF(E56,A56,10^9)</f>
        <v/>
      </c>
      <c r="H56">
        <f>IF(E56,D56,10^9)</f>
        <v/>
      </c>
    </row>
    <row r="57">
      <c r="A57" t="n">
        <v>49</v>
      </c>
      <c r="B57" t="n">
        <v>156.1147273963782</v>
      </c>
      <c r="C57" t="n">
        <v>0.0465042381282032</v>
      </c>
      <c r="D57" t="n">
        <v>347.8723701077896</v>
      </c>
      <c r="E57">
        <f>C57&lt;0.05</f>
        <v/>
      </c>
      <c r="F57">
        <f>A57=$B$5</f>
        <v/>
      </c>
      <c r="G57">
        <f>IF(E57,A57,10^9)</f>
        <v/>
      </c>
      <c r="H57">
        <f>IF(E57,D57,10^9)</f>
        <v/>
      </c>
    </row>
    <row r="58">
      <c r="A58" t="n">
        <v>50</v>
      </c>
      <c r="B58" t="n">
        <v>155.1147273963782</v>
      </c>
      <c r="C58" t="n">
        <v>0.04620635311181953</v>
      </c>
      <c r="D58" t="n">
        <v>348.050941536361</v>
      </c>
      <c r="E58">
        <f>C58&lt;0.05</f>
        <v/>
      </c>
      <c r="F58">
        <f>A58=$B$5</f>
        <v/>
      </c>
      <c r="G58">
        <f>IF(E58,A58,10^9)</f>
        <v/>
      </c>
      <c r="H58">
        <f>IF(E58,D58,10^9)</f>
        <v/>
      </c>
    </row>
    <row r="59">
      <c r="A59" t="n">
        <v>51</v>
      </c>
      <c r="B59" t="n">
        <v>154.1147273963782</v>
      </c>
      <c r="C59" t="n">
        <v>0.04590846809543585</v>
      </c>
      <c r="D59" t="n">
        <v>348.2295129649324</v>
      </c>
      <c r="E59">
        <f>C59&lt;0.05</f>
        <v/>
      </c>
      <c r="F59">
        <f>A59=$B$5</f>
        <v/>
      </c>
      <c r="G59">
        <f>IF(E59,A59,10^9)</f>
        <v/>
      </c>
      <c r="H59">
        <f>IF(E59,D59,10^9)</f>
        <v/>
      </c>
    </row>
    <row r="60">
      <c r="A60" t="n">
        <v>52</v>
      </c>
      <c r="B60" t="n">
        <v>153.1147273963782</v>
      </c>
      <c r="C60" t="n">
        <v>0.04561058307905218</v>
      </c>
      <c r="D60" t="n">
        <v>348.4080843935039</v>
      </c>
      <c r="E60">
        <f>C60&lt;0.05</f>
        <v/>
      </c>
      <c r="F60">
        <f>A60=$B$5</f>
        <v/>
      </c>
      <c r="G60">
        <f>IF(E60,A60,10^9)</f>
        <v/>
      </c>
      <c r="H60">
        <f>IF(E60,D60,10^9)</f>
        <v/>
      </c>
    </row>
    <row r="61">
      <c r="A61" t="n">
        <v>53</v>
      </c>
      <c r="B61" t="n">
        <v>152.1147273963782</v>
      </c>
      <c r="C61" t="n">
        <v>0.0453126980626685</v>
      </c>
      <c r="D61" t="n">
        <v>348.5866558220753</v>
      </c>
      <c r="E61">
        <f>C61&lt;0.05</f>
        <v/>
      </c>
      <c r="F61">
        <f>A61=$B$5</f>
        <v/>
      </c>
      <c r="G61">
        <f>IF(E61,A61,10^9)</f>
        <v/>
      </c>
      <c r="H61">
        <f>IF(E61,D61,10^9)</f>
        <v/>
      </c>
    </row>
    <row r="62">
      <c r="A62" t="n">
        <v>54</v>
      </c>
      <c r="B62" t="n">
        <v>151.1147273963782</v>
      </c>
      <c r="C62" t="n">
        <v>0.04501481304628482</v>
      </c>
      <c r="D62" t="n">
        <v>348.7652272506467</v>
      </c>
      <c r="E62">
        <f>C62&lt;0.05</f>
        <v/>
      </c>
      <c r="F62">
        <f>A62=$B$5</f>
        <v/>
      </c>
      <c r="G62">
        <f>IF(E62,A62,10^9)</f>
        <v/>
      </c>
      <c r="H62">
        <f>IF(E62,D62,10^9)</f>
        <v/>
      </c>
    </row>
    <row r="63">
      <c r="A63" t="n">
        <v>55</v>
      </c>
      <c r="B63" t="n">
        <v>150.1147273963782</v>
      </c>
      <c r="C63" t="n">
        <v>0.04471692802990115</v>
      </c>
      <c r="D63" t="n">
        <v>348.9437986792182</v>
      </c>
      <c r="E63">
        <f>C63&lt;0.05</f>
        <v/>
      </c>
      <c r="F63">
        <f>A63=$B$5</f>
        <v/>
      </c>
      <c r="G63">
        <f>IF(E63,A63,10^9)</f>
        <v/>
      </c>
      <c r="H63">
        <f>IF(E63,D63,10^9)</f>
        <v/>
      </c>
    </row>
    <row r="64">
      <c r="A64" t="n">
        <v>56</v>
      </c>
      <c r="B64" t="n">
        <v>149.1147273963782</v>
      </c>
      <c r="C64" t="n">
        <v>0.04441904301351747</v>
      </c>
      <c r="D64" t="n">
        <v>349.1223701077896</v>
      </c>
      <c r="E64">
        <f>C64&lt;0.05</f>
        <v/>
      </c>
      <c r="F64">
        <f>A64=$B$5</f>
        <v/>
      </c>
      <c r="G64">
        <f>IF(E64,A64,10^9)</f>
        <v/>
      </c>
      <c r="H64">
        <f>IF(E64,D64,10^9)</f>
        <v/>
      </c>
    </row>
    <row r="65">
      <c r="A65" t="n">
        <v>57</v>
      </c>
      <c r="B65" t="n">
        <v>148.1147273963782</v>
      </c>
      <c r="C65" t="n">
        <v>0.0441211579971338</v>
      </c>
      <c r="D65" t="n">
        <v>349.300941536361</v>
      </c>
      <c r="E65">
        <f>C65&lt;0.05</f>
        <v/>
      </c>
      <c r="F65">
        <f>A65=$B$5</f>
        <v/>
      </c>
      <c r="G65">
        <f>IF(E65,A65,10^9)</f>
        <v/>
      </c>
      <c r="H65">
        <f>IF(E65,D65,10^9)</f>
        <v/>
      </c>
    </row>
    <row r="66">
      <c r="A66" t="n">
        <v>58</v>
      </c>
      <c r="B66" t="n">
        <v>147.1147273963782</v>
      </c>
      <c r="C66" t="n">
        <v>0.04382327298075012</v>
      </c>
      <c r="D66" t="n">
        <v>349.4795129649324</v>
      </c>
      <c r="E66">
        <f>C66&lt;0.05</f>
        <v/>
      </c>
      <c r="F66">
        <f>A66=$B$5</f>
        <v/>
      </c>
      <c r="G66">
        <f>IF(E66,A66,10^9)</f>
        <v/>
      </c>
      <c r="H66">
        <f>IF(E66,D66,10^9)</f>
        <v/>
      </c>
    </row>
    <row r="67">
      <c r="A67" t="n">
        <v>59</v>
      </c>
      <c r="B67" t="n">
        <v>146.1147273963782</v>
      </c>
      <c r="C67" t="n">
        <v>0.04352538796436645</v>
      </c>
      <c r="D67" t="n">
        <v>349.6580843935039</v>
      </c>
      <c r="E67">
        <f>C67&lt;0.05</f>
        <v/>
      </c>
      <c r="F67">
        <f>A67=$B$5</f>
        <v/>
      </c>
      <c r="G67">
        <f>IF(E67,A67,10^9)</f>
        <v/>
      </c>
      <c r="H67">
        <f>IF(E67,D67,10^9)</f>
        <v/>
      </c>
    </row>
    <row r="68">
      <c r="A68" t="n">
        <v>60</v>
      </c>
      <c r="B68" t="n">
        <v>145.1147273963782</v>
      </c>
      <c r="C68" t="n">
        <v>0.04322750294798277</v>
      </c>
      <c r="D68" t="n">
        <v>349.8366558220753</v>
      </c>
      <c r="E68">
        <f>C68&lt;0.05</f>
        <v/>
      </c>
      <c r="F68">
        <f>A68=$B$5</f>
        <v/>
      </c>
      <c r="G68">
        <f>IF(E68,A68,10^9)</f>
        <v/>
      </c>
      <c r="H68">
        <f>IF(E68,D68,10^9)</f>
        <v/>
      </c>
    </row>
    <row r="69">
      <c r="A69" t="n">
        <v>61</v>
      </c>
      <c r="B69" t="n">
        <v>144.1147273963782</v>
      </c>
      <c r="C69" t="n">
        <v>0.04292961793159909</v>
      </c>
      <c r="D69" t="n">
        <v>350.0152272506467</v>
      </c>
      <c r="E69">
        <f>C69&lt;0.05</f>
        <v/>
      </c>
      <c r="F69">
        <f>A69=$B$5</f>
        <v/>
      </c>
      <c r="G69">
        <f>IF(E69,A69,10^9)</f>
        <v/>
      </c>
      <c r="H69">
        <f>IF(E69,D69,10^9)</f>
        <v/>
      </c>
    </row>
    <row r="70">
      <c r="A70" t="n">
        <v>62</v>
      </c>
      <c r="B70" t="n">
        <v>143.1147273963782</v>
      </c>
      <c r="C70" t="n">
        <v>0.04263173291521542</v>
      </c>
      <c r="D70" t="n">
        <v>350.1937986792182</v>
      </c>
      <c r="E70">
        <f>C70&lt;0.05</f>
        <v/>
      </c>
      <c r="F70">
        <f>A70=$B$5</f>
        <v/>
      </c>
      <c r="G70">
        <f>IF(E70,A70,10^9)</f>
        <v/>
      </c>
      <c r="H70">
        <f>IF(E70,D70,10^9)</f>
        <v/>
      </c>
    </row>
    <row r="71">
      <c r="A71" t="n">
        <v>63</v>
      </c>
      <c r="B71" t="n">
        <v>142.1147273963782</v>
      </c>
      <c r="C71" t="n">
        <v>0.04233384789883174</v>
      </c>
      <c r="D71" t="n">
        <v>350.3723701077896</v>
      </c>
      <c r="E71">
        <f>C71&lt;0.05</f>
        <v/>
      </c>
      <c r="F71">
        <f>A71=$B$5</f>
        <v/>
      </c>
      <c r="G71">
        <f>IF(E71,A71,10^9)</f>
        <v/>
      </c>
      <c r="H71">
        <f>IF(E71,D71,10^9)</f>
        <v/>
      </c>
    </row>
    <row r="72">
      <c r="A72" t="n">
        <v>64</v>
      </c>
      <c r="B72" t="n">
        <v>141.1147273963782</v>
      </c>
      <c r="C72" t="n">
        <v>0.04203596288244807</v>
      </c>
      <c r="D72" t="n">
        <v>350.550941536361</v>
      </c>
      <c r="E72">
        <f>C72&lt;0.05</f>
        <v/>
      </c>
      <c r="F72">
        <f>A72=$B$5</f>
        <v/>
      </c>
      <c r="G72">
        <f>IF(E72,A72,10^9)</f>
        <v/>
      </c>
      <c r="H72">
        <f>IF(E72,D72,10^9)</f>
        <v/>
      </c>
    </row>
    <row r="73">
      <c r="A73" t="n">
        <v>65</v>
      </c>
      <c r="B73" t="n">
        <v>140.1147273963782</v>
      </c>
      <c r="C73" t="n">
        <v>0.04173807786606439</v>
      </c>
      <c r="D73" t="n">
        <v>350.7295129649324</v>
      </c>
      <c r="E73">
        <f>C73&lt;0.05</f>
        <v/>
      </c>
      <c r="F73">
        <f>A73=$B$5</f>
        <v/>
      </c>
      <c r="G73">
        <f>IF(E73,A73,10^9)</f>
        <v/>
      </c>
      <c r="H73">
        <f>IF(E73,D73,10^9)</f>
        <v/>
      </c>
    </row>
    <row r="74">
      <c r="A74" t="n">
        <v>66</v>
      </c>
      <c r="B74" t="n">
        <v>139.1147273963782</v>
      </c>
      <c r="C74" t="n">
        <v>0.04144019284968072</v>
      </c>
      <c r="D74" t="n">
        <v>350.9080843935039</v>
      </c>
      <c r="E74">
        <f>C74&lt;0.05</f>
        <v/>
      </c>
      <c r="F74">
        <f>A74=$B$5</f>
        <v/>
      </c>
      <c r="G74">
        <f>IF(E74,A74,10^9)</f>
        <v/>
      </c>
      <c r="H74">
        <f>IF(E74,D74,10^9)</f>
        <v/>
      </c>
    </row>
    <row r="75">
      <c r="A75" t="n">
        <v>67</v>
      </c>
      <c r="B75" t="n">
        <v>138.1147273963782</v>
      </c>
      <c r="C75" t="n">
        <v>0.04114230783329704</v>
      </c>
      <c r="D75" t="n">
        <v>351.0866558220753</v>
      </c>
      <c r="E75">
        <f>C75&lt;0.05</f>
        <v/>
      </c>
      <c r="F75">
        <f>A75=$B$5</f>
        <v/>
      </c>
      <c r="G75">
        <f>IF(E75,A75,10^9)</f>
        <v/>
      </c>
      <c r="H75">
        <f>IF(E75,D75,10^9)</f>
        <v/>
      </c>
    </row>
    <row r="76">
      <c r="A76" t="n">
        <v>68</v>
      </c>
      <c r="B76" t="n">
        <v>137.1147273963782</v>
      </c>
      <c r="C76" t="n">
        <v>0.04084442281691336</v>
      </c>
      <c r="D76" t="n">
        <v>351.2652272506467</v>
      </c>
      <c r="E76">
        <f>C76&lt;0.05</f>
        <v/>
      </c>
      <c r="F76">
        <f>A76=$B$5</f>
        <v/>
      </c>
      <c r="G76">
        <f>IF(E76,A76,10^9)</f>
        <v/>
      </c>
      <c r="H76">
        <f>IF(E76,D76,10^9)</f>
        <v/>
      </c>
    </row>
    <row r="77">
      <c r="A77" t="n">
        <v>69</v>
      </c>
      <c r="B77" t="n">
        <v>136.1147273963782</v>
      </c>
      <c r="C77" t="n">
        <v>0.04054653780052968</v>
      </c>
      <c r="D77" t="n">
        <v>351.4437986792182</v>
      </c>
      <c r="E77">
        <f>C77&lt;0.05</f>
        <v/>
      </c>
      <c r="F77">
        <f>A77=$B$5</f>
        <v/>
      </c>
      <c r="G77">
        <f>IF(E77,A77,10^9)</f>
        <v/>
      </c>
      <c r="H77">
        <f>IF(E77,D77,10^9)</f>
        <v/>
      </c>
    </row>
    <row r="78">
      <c r="A78" t="n">
        <v>70</v>
      </c>
      <c r="B78" t="n">
        <v>135.1147273963782</v>
      </c>
      <c r="C78" t="n">
        <v>0.04024865278414601</v>
      </c>
      <c r="D78" t="n">
        <v>351.6223701077896</v>
      </c>
      <c r="E78">
        <f>C78&lt;0.05</f>
        <v/>
      </c>
      <c r="F78">
        <f>A78=$B$5</f>
        <v/>
      </c>
      <c r="G78">
        <f>IF(E78,A78,10^9)</f>
        <v/>
      </c>
      <c r="H78">
        <f>IF(E78,D78,10^9)</f>
        <v/>
      </c>
    </row>
    <row r="79">
      <c r="A79" t="n">
        <v>71</v>
      </c>
      <c r="B79" t="n">
        <v>134.1147273963782</v>
      </c>
      <c r="C79" t="n">
        <v>0.03995076776776234</v>
      </c>
      <c r="D79" t="n">
        <v>351.800941536361</v>
      </c>
      <c r="E79">
        <f>C79&lt;0.05</f>
        <v/>
      </c>
      <c r="F79">
        <f>A79=$B$5</f>
        <v/>
      </c>
      <c r="G79">
        <f>IF(E79,A79,10^9)</f>
        <v/>
      </c>
      <c r="H79">
        <f>IF(E79,D79,10^9)</f>
        <v/>
      </c>
    </row>
    <row r="80">
      <c r="A80" t="n">
        <v>72</v>
      </c>
      <c r="B80" t="n">
        <v>133.1147273963782</v>
      </c>
      <c r="C80" t="n">
        <v>0.03965288275137866</v>
      </c>
      <c r="D80" t="n">
        <v>351.9795129649324</v>
      </c>
      <c r="E80">
        <f>C80&lt;0.05</f>
        <v/>
      </c>
      <c r="F80">
        <f>A80=$B$5</f>
        <v/>
      </c>
      <c r="G80">
        <f>IF(E80,A80,10^9)</f>
        <v/>
      </c>
      <c r="H80">
        <f>IF(E80,D80,10^9)</f>
        <v/>
      </c>
    </row>
    <row r="81">
      <c r="A81" t="n">
        <v>73</v>
      </c>
      <c r="B81" t="n">
        <v>132.1147273963782</v>
      </c>
      <c r="C81" t="n">
        <v>0.03935499773499498</v>
      </c>
      <c r="D81" t="n">
        <v>352.1580843935039</v>
      </c>
      <c r="E81">
        <f>C81&lt;0.05</f>
        <v/>
      </c>
      <c r="F81">
        <f>A81=$B$5</f>
        <v/>
      </c>
      <c r="G81">
        <f>IF(E81,A81,10^9)</f>
        <v/>
      </c>
      <c r="H81">
        <f>IF(E81,D81,10^9)</f>
        <v/>
      </c>
    </row>
    <row r="82">
      <c r="A82" t="n">
        <v>74</v>
      </c>
      <c r="B82" t="n">
        <v>131.1147273963782</v>
      </c>
      <c r="C82" t="n">
        <v>0.03905711271861131</v>
      </c>
      <c r="D82" t="n">
        <v>352.3366558220753</v>
      </c>
      <c r="E82">
        <f>C82&lt;0.05</f>
        <v/>
      </c>
      <c r="F82">
        <f>A82=$B$5</f>
        <v/>
      </c>
      <c r="G82">
        <f>IF(E82,A82,10^9)</f>
        <v/>
      </c>
      <c r="H82">
        <f>IF(E82,D82,10^9)</f>
        <v/>
      </c>
    </row>
    <row r="83">
      <c r="A83" t="n">
        <v>75</v>
      </c>
      <c r="B83" t="n">
        <v>130.1147273963782</v>
      </c>
      <c r="C83" t="n">
        <v>0.03875922770222763</v>
      </c>
      <c r="D83" t="n">
        <v>352.5152272506467</v>
      </c>
      <c r="E83">
        <f>C83&lt;0.05</f>
        <v/>
      </c>
      <c r="F83">
        <f>A83=$B$5</f>
        <v/>
      </c>
      <c r="G83">
        <f>IF(E83,A83,10^9)</f>
        <v/>
      </c>
      <c r="H83">
        <f>IF(E83,D83,10^9)</f>
        <v/>
      </c>
    </row>
    <row r="84">
      <c r="A84" t="n">
        <v>76</v>
      </c>
      <c r="B84" t="n">
        <v>129.1147273963782</v>
      </c>
      <c r="C84" t="n">
        <v>0.03846134268584395</v>
      </c>
      <c r="D84" t="n">
        <v>352.6937986792182</v>
      </c>
      <c r="E84">
        <f>C84&lt;0.05</f>
        <v/>
      </c>
      <c r="F84">
        <f>A84=$B$5</f>
        <v/>
      </c>
      <c r="G84">
        <f>IF(E84,A84,10^9)</f>
        <v/>
      </c>
      <c r="H84">
        <f>IF(E84,D84,10^9)</f>
        <v/>
      </c>
    </row>
    <row r="85">
      <c r="A85" t="n">
        <v>77</v>
      </c>
      <c r="B85" t="n">
        <v>128.1147273963782</v>
      </c>
      <c r="C85" t="n">
        <v>0.03816345766946028</v>
      </c>
      <c r="D85" t="n">
        <v>352.8723701077896</v>
      </c>
      <c r="E85">
        <f>C85&lt;0.05</f>
        <v/>
      </c>
      <c r="F85">
        <f>A85=$B$5</f>
        <v/>
      </c>
      <c r="G85">
        <f>IF(E85,A85,10^9)</f>
        <v/>
      </c>
      <c r="H85">
        <f>IF(E85,D85,10^9)</f>
        <v/>
      </c>
    </row>
    <row r="86">
      <c r="A86" t="n">
        <v>78</v>
      </c>
      <c r="B86" t="n">
        <v>127.1147273963782</v>
      </c>
      <c r="C86" t="n">
        <v>0.0378655726530766</v>
      </c>
      <c r="D86" t="n">
        <v>353.0825584150619</v>
      </c>
      <c r="E86">
        <f>C86&lt;0.05</f>
        <v/>
      </c>
      <c r="F86">
        <f>A86=$B$5</f>
        <v/>
      </c>
      <c r="G86">
        <f>IF(E86,A86,10^9)</f>
        <v/>
      </c>
      <c r="H86">
        <f>IF(E86,D86,10^9)</f>
        <v/>
      </c>
    </row>
    <row r="87">
      <c r="A87" t="n">
        <v>79</v>
      </c>
      <c r="B87" t="n">
        <v>126.1147273963782</v>
      </c>
      <c r="C87" t="n">
        <v>0.03756768763669293</v>
      </c>
      <c r="D87" t="n">
        <v>353.2968441293476</v>
      </c>
      <c r="E87">
        <f>C87&lt;0.05</f>
        <v/>
      </c>
      <c r="F87">
        <f>A87=$B$5</f>
        <v/>
      </c>
      <c r="G87">
        <f>IF(E87,A87,10^9)</f>
        <v/>
      </c>
      <c r="H87">
        <f>IF(E87,D87,10^9)</f>
        <v/>
      </c>
    </row>
    <row r="88">
      <c r="A88" t="n">
        <v>80</v>
      </c>
      <c r="B88" t="n">
        <v>125.1147273963782</v>
      </c>
      <c r="C88" t="n">
        <v>0.03726980262030925</v>
      </c>
      <c r="D88" t="n">
        <v>353.5111298436333</v>
      </c>
      <c r="E88">
        <f>C88&lt;0.05</f>
        <v/>
      </c>
      <c r="F88">
        <f>A88=$B$5</f>
        <v/>
      </c>
      <c r="G88">
        <f>IF(E88,A88,10^9)</f>
        <v/>
      </c>
      <c r="H88">
        <f>IF(E88,D88,10^9)</f>
        <v/>
      </c>
    </row>
    <row r="89">
      <c r="A89" t="n">
        <v>81</v>
      </c>
      <c r="B89" t="n">
        <v>124.1147273963782</v>
      </c>
      <c r="C89" t="n">
        <v>0.03697191760392558</v>
      </c>
      <c r="D89" t="n">
        <v>353.725415557919</v>
      </c>
      <c r="E89">
        <f>C89&lt;0.05</f>
        <v/>
      </c>
      <c r="F89">
        <f>A89=$B$5</f>
        <v/>
      </c>
      <c r="G89">
        <f>IF(E89,A89,10^9)</f>
        <v/>
      </c>
      <c r="H89">
        <f>IF(E89,D89,10^9)</f>
        <v/>
      </c>
    </row>
    <row r="90">
      <c r="A90" t="n">
        <v>82</v>
      </c>
      <c r="B90" t="n">
        <v>123.1147273963782</v>
      </c>
      <c r="C90" t="n">
        <v>0.0366740325875419</v>
      </c>
      <c r="D90" t="n">
        <v>353.9397012722047</v>
      </c>
      <c r="E90">
        <f>C90&lt;0.05</f>
        <v/>
      </c>
      <c r="F90">
        <f>A90=$B$5</f>
        <v/>
      </c>
      <c r="G90">
        <f>IF(E90,A90,10^9)</f>
        <v/>
      </c>
      <c r="H90">
        <f>IF(E90,D90,10^9)</f>
        <v/>
      </c>
    </row>
    <row r="91">
      <c r="A91" t="n">
        <v>83</v>
      </c>
      <c r="B91" t="n">
        <v>122.1147273963782</v>
      </c>
      <c r="C91" t="n">
        <v>0.03637614757115822</v>
      </c>
      <c r="D91" t="n">
        <v>354.1539869864905</v>
      </c>
      <c r="E91">
        <f>C91&lt;0.05</f>
        <v/>
      </c>
      <c r="F91">
        <f>A91=$B$5</f>
        <v/>
      </c>
      <c r="G91">
        <f>IF(E91,A91,10^9)</f>
        <v/>
      </c>
      <c r="H91">
        <f>IF(E91,D91,10^9)</f>
        <v/>
      </c>
    </row>
    <row r="92">
      <c r="A92" t="n">
        <v>84</v>
      </c>
      <c r="B92" t="n">
        <v>121.1147273963782</v>
      </c>
      <c r="C92" t="n">
        <v>0.03607826255477455</v>
      </c>
      <c r="D92" t="n">
        <v>354.3682727007762</v>
      </c>
      <c r="E92">
        <f>C92&lt;0.05</f>
        <v/>
      </c>
      <c r="F92">
        <f>A92=$B$5</f>
        <v/>
      </c>
      <c r="G92">
        <f>IF(E92,A92,10^9)</f>
        <v/>
      </c>
      <c r="H92">
        <f>IF(E92,D92,10^9)</f>
        <v/>
      </c>
    </row>
    <row r="93">
      <c r="A93" t="n">
        <v>85</v>
      </c>
      <c r="B93" t="n">
        <v>120.1147273963782</v>
      </c>
      <c r="C93" t="n">
        <v>0.03578037753839087</v>
      </c>
      <c r="D93" t="n">
        <v>354.5825584150619</v>
      </c>
      <c r="E93">
        <f>C93&lt;0.05</f>
        <v/>
      </c>
      <c r="F93">
        <f>A93=$B$5</f>
        <v/>
      </c>
      <c r="G93">
        <f>IF(E93,A93,10^9)</f>
        <v/>
      </c>
      <c r="H93">
        <f>IF(E93,D93,10^9)</f>
        <v/>
      </c>
    </row>
    <row r="94">
      <c r="A94" t="n">
        <v>86</v>
      </c>
      <c r="B94" t="n">
        <v>119.1147273963782</v>
      </c>
      <c r="C94" t="n">
        <v>0.0354824925220072</v>
      </c>
      <c r="D94" t="n">
        <v>354.7968441293476</v>
      </c>
      <c r="E94">
        <f>C94&lt;0.05</f>
        <v/>
      </c>
      <c r="F94">
        <f>A94=$B$5</f>
        <v/>
      </c>
      <c r="G94">
        <f>IF(E94,A94,10^9)</f>
        <v/>
      </c>
      <c r="H94">
        <f>IF(E94,D94,10^9)</f>
        <v/>
      </c>
    </row>
    <row r="95">
      <c r="A95" t="n">
        <v>87</v>
      </c>
      <c r="B95" t="n">
        <v>118.1147273963782</v>
      </c>
      <c r="C95" t="n">
        <v>0.03518460750562352</v>
      </c>
      <c r="D95" t="n">
        <v>355.0111298436333</v>
      </c>
      <c r="E95">
        <f>C95&lt;0.05</f>
        <v/>
      </c>
      <c r="F95">
        <f>A95=$B$5</f>
        <v/>
      </c>
      <c r="G95">
        <f>IF(E95,A95,10^9)</f>
        <v/>
      </c>
      <c r="H95">
        <f>IF(E95,D95,10^9)</f>
        <v/>
      </c>
    </row>
    <row r="96">
      <c r="A96" t="n">
        <v>88</v>
      </c>
      <c r="B96" t="n">
        <v>117.1147273963782</v>
      </c>
      <c r="C96" t="n">
        <v>0.03488672248923985</v>
      </c>
      <c r="D96" t="n">
        <v>355.225415557919</v>
      </c>
      <c r="E96">
        <f>C96&lt;0.05</f>
        <v/>
      </c>
      <c r="F96">
        <f>A96=$B$5</f>
        <v/>
      </c>
      <c r="G96">
        <f>IF(E96,A96,10^9)</f>
        <v/>
      </c>
      <c r="H96">
        <f>IF(E96,D96,10^9)</f>
        <v/>
      </c>
    </row>
    <row r="97">
      <c r="A97" t="n">
        <v>89</v>
      </c>
      <c r="B97" t="n">
        <v>116.1147273963782</v>
      </c>
      <c r="C97" t="n">
        <v>0.03458883747285617</v>
      </c>
      <c r="D97" t="n">
        <v>355.4397012722047</v>
      </c>
      <c r="E97">
        <f>C97&lt;0.05</f>
        <v/>
      </c>
      <c r="F97">
        <f>A97=$B$5</f>
        <v/>
      </c>
      <c r="G97">
        <f>IF(E97,A97,10^9)</f>
        <v/>
      </c>
      <c r="H97">
        <f>IF(E97,D97,10^9)</f>
        <v/>
      </c>
    </row>
    <row r="98">
      <c r="A98" t="n">
        <v>90</v>
      </c>
      <c r="B98" t="n">
        <v>115.1147273963782</v>
      </c>
      <c r="C98" t="n">
        <v>0.03429095245647249</v>
      </c>
      <c r="D98" t="n">
        <v>355.6539869864905</v>
      </c>
      <c r="E98">
        <f>C98&lt;0.05</f>
        <v/>
      </c>
      <c r="F98">
        <f>A98=$B$5</f>
        <v/>
      </c>
      <c r="G98">
        <f>IF(E98,A98,10^9)</f>
        <v/>
      </c>
      <c r="H98">
        <f>IF(E98,D98,10^9)</f>
        <v/>
      </c>
    </row>
    <row r="99">
      <c r="A99" t="n">
        <v>91</v>
      </c>
      <c r="B99" t="n">
        <v>114.1147273963782</v>
      </c>
      <c r="C99" t="n">
        <v>0.03399306744008881</v>
      </c>
      <c r="D99" t="n">
        <v>355.8682727007762</v>
      </c>
      <c r="E99">
        <f>C99&lt;0.05</f>
        <v/>
      </c>
      <c r="F99">
        <f>A99=$B$5</f>
        <v/>
      </c>
      <c r="G99">
        <f>IF(E99,A99,10^9)</f>
        <v/>
      </c>
      <c r="H99">
        <f>IF(E99,D99,10^9)</f>
        <v/>
      </c>
    </row>
    <row r="100">
      <c r="A100" t="n">
        <v>92</v>
      </c>
      <c r="B100" t="n">
        <v>113.1147273963782</v>
      </c>
      <c r="C100" t="n">
        <v>0.03369518242370514</v>
      </c>
      <c r="D100" t="n">
        <v>356.0825584150619</v>
      </c>
      <c r="E100">
        <f>C100&lt;0.05</f>
        <v/>
      </c>
      <c r="F100">
        <f>A100=$B$5</f>
        <v/>
      </c>
      <c r="G100">
        <f>IF(E100,A100,10^9)</f>
        <v/>
      </c>
      <c r="H100">
        <f>IF(E100,D100,10^9)</f>
        <v/>
      </c>
    </row>
    <row r="101">
      <c r="A101" t="n">
        <v>93</v>
      </c>
      <c r="B101" t="n">
        <v>112.1147273963782</v>
      </c>
      <c r="C101" t="n">
        <v>0.03339729740732147</v>
      </c>
      <c r="D101" t="n">
        <v>356.2968441293476</v>
      </c>
      <c r="E101">
        <f>C101&lt;0.05</f>
        <v/>
      </c>
      <c r="F101">
        <f>A101=$B$5</f>
        <v/>
      </c>
      <c r="G101">
        <f>IF(E101,A101,10^9)</f>
        <v/>
      </c>
      <c r="H101">
        <f>IF(E101,D101,10^9)</f>
        <v/>
      </c>
    </row>
    <row r="102">
      <c r="A102" t="n">
        <v>94</v>
      </c>
      <c r="B102" t="n">
        <v>111.1147273963782</v>
      </c>
      <c r="C102" t="n">
        <v>0.03309941239093779</v>
      </c>
      <c r="D102" t="n">
        <v>356.5111298436333</v>
      </c>
      <c r="E102">
        <f>C102&lt;0.05</f>
        <v/>
      </c>
      <c r="F102">
        <f>A102=$B$5</f>
        <v/>
      </c>
      <c r="G102">
        <f>IF(E102,A102,10^9)</f>
        <v/>
      </c>
      <c r="H102">
        <f>IF(E102,D102,10^9)</f>
        <v/>
      </c>
    </row>
    <row r="103">
      <c r="A103" t="n">
        <v>95</v>
      </c>
      <c r="B103" t="n">
        <v>110.1147273963782</v>
      </c>
      <c r="C103" t="n">
        <v>0.03280152737455411</v>
      </c>
      <c r="D103" t="n">
        <v>356.725415557919</v>
      </c>
      <c r="E103">
        <f>C103&lt;0.05</f>
        <v/>
      </c>
      <c r="F103">
        <f>A103=$B$5</f>
        <v/>
      </c>
      <c r="G103">
        <f>IF(E103,A103,10^9)</f>
        <v/>
      </c>
      <c r="H103">
        <f>IF(E103,D103,10^9)</f>
        <v/>
      </c>
    </row>
    <row r="104">
      <c r="A104" t="n">
        <v>96</v>
      </c>
      <c r="B104" t="n">
        <v>109.1147273963782</v>
      </c>
      <c r="C104" t="n">
        <v>0.03250364235817044</v>
      </c>
      <c r="D104" t="n">
        <v>356.9397012722047</v>
      </c>
      <c r="E104">
        <f>C104&lt;0.05</f>
        <v/>
      </c>
      <c r="F104">
        <f>A104=$B$5</f>
        <v/>
      </c>
      <c r="G104">
        <f>IF(E104,A104,10^9)</f>
        <v/>
      </c>
      <c r="H104">
        <f>IF(E104,D104,10^9)</f>
        <v/>
      </c>
    </row>
    <row r="105">
      <c r="A105" t="n">
        <v>97</v>
      </c>
      <c r="B105" t="n">
        <v>108.1147273963782</v>
      </c>
      <c r="C105" t="n">
        <v>0.03220575734178676</v>
      </c>
      <c r="D105" t="n">
        <v>357.1539869864905</v>
      </c>
      <c r="E105">
        <f>C105&lt;0.05</f>
        <v/>
      </c>
      <c r="F105">
        <f>A105=$B$5</f>
        <v/>
      </c>
      <c r="G105">
        <f>IF(E105,A105,10^9)</f>
        <v/>
      </c>
      <c r="H105">
        <f>IF(E105,D105,10^9)</f>
        <v/>
      </c>
    </row>
    <row r="106">
      <c r="A106" t="n">
        <v>98</v>
      </c>
      <c r="B106" t="n">
        <v>107.1147273963782</v>
      </c>
      <c r="C106" t="n">
        <v>0.03190787232540308</v>
      </c>
      <c r="D106" t="n">
        <v>357.3682727007762</v>
      </c>
      <c r="E106">
        <f>C106&lt;0.05</f>
        <v/>
      </c>
      <c r="F106">
        <f>A106=$B$5</f>
        <v/>
      </c>
      <c r="G106">
        <f>IF(E106,A106,10^9)</f>
        <v/>
      </c>
      <c r="H106">
        <f>IF(E106,D106,10^9)</f>
        <v/>
      </c>
    </row>
    <row r="107">
      <c r="A107" t="n">
        <v>99</v>
      </c>
      <c r="B107" t="n">
        <v>106.1147273963782</v>
      </c>
      <c r="C107" t="n">
        <v>0.03160998730901941</v>
      </c>
      <c r="D107" t="n">
        <v>357.5825584150619</v>
      </c>
      <c r="E107">
        <f>C107&lt;0.05</f>
        <v/>
      </c>
      <c r="F107">
        <f>A107=$B$5</f>
        <v/>
      </c>
      <c r="G107">
        <f>IF(E107,A107,10^9)</f>
        <v/>
      </c>
      <c r="H107">
        <f>IF(E107,D107,10^9)</f>
        <v/>
      </c>
    </row>
    <row r="108">
      <c r="A108" t="n">
        <v>100</v>
      </c>
      <c r="B108" t="n">
        <v>105.1147273963782</v>
      </c>
      <c r="C108" t="n">
        <v>0.03131210229263574</v>
      </c>
      <c r="D108" t="n">
        <v>357.7968441293476</v>
      </c>
      <c r="E108">
        <f>C108&lt;0.05</f>
        <v/>
      </c>
      <c r="F108">
        <f>A108=$B$5</f>
        <v/>
      </c>
      <c r="G108">
        <f>IF(E108,A108,10^9)</f>
        <v/>
      </c>
      <c r="H108">
        <f>IF(E108,D108,10^9)</f>
        <v/>
      </c>
    </row>
    <row r="109">
      <c r="A109" t="n">
        <v>101</v>
      </c>
      <c r="B109" t="n">
        <v>104.1147273963782</v>
      </c>
      <c r="C109" t="n">
        <v>0.03101421727625206</v>
      </c>
      <c r="D109" t="n">
        <v>358.0111298436333</v>
      </c>
      <c r="E109">
        <f>C109&lt;0.05</f>
        <v/>
      </c>
      <c r="F109">
        <f>A109=$B$5</f>
        <v/>
      </c>
      <c r="G109">
        <f>IF(E109,A109,10^9)</f>
        <v/>
      </c>
      <c r="H109">
        <f>IF(E109,D109,10^9)</f>
        <v/>
      </c>
    </row>
    <row r="110">
      <c r="A110" t="n">
        <v>102</v>
      </c>
      <c r="B110" t="n">
        <v>103.1147273963782</v>
      </c>
      <c r="C110" t="n">
        <v>0.03071633225986838</v>
      </c>
      <c r="D110" t="n">
        <v>358.225415557919</v>
      </c>
      <c r="E110">
        <f>C110&lt;0.05</f>
        <v/>
      </c>
      <c r="F110">
        <f>A110=$B$5</f>
        <v/>
      </c>
      <c r="G110">
        <f>IF(E110,A110,10^9)</f>
        <v/>
      </c>
      <c r="H110">
        <f>IF(E110,D110,10^9)</f>
        <v/>
      </c>
    </row>
    <row r="111">
      <c r="A111" t="n">
        <v>103</v>
      </c>
      <c r="B111" t="n">
        <v>102.1147273963782</v>
      </c>
      <c r="C111" t="n">
        <v>0.03041844724348471</v>
      </c>
      <c r="D111" t="n">
        <v>358.4397012722047</v>
      </c>
      <c r="E111">
        <f>C111&lt;0.05</f>
        <v/>
      </c>
      <c r="F111">
        <f>A111=$B$5</f>
        <v/>
      </c>
      <c r="G111">
        <f>IF(E111,A111,10^9)</f>
        <v/>
      </c>
      <c r="H111">
        <f>IF(E111,D111,10^9)</f>
        <v/>
      </c>
    </row>
    <row r="112">
      <c r="A112" t="n">
        <v>104</v>
      </c>
      <c r="B112" t="n">
        <v>101.1147273963782</v>
      </c>
      <c r="C112" t="n">
        <v>0.03012056222710103</v>
      </c>
      <c r="D112" t="n">
        <v>358.6539869864905</v>
      </c>
      <c r="E112">
        <f>C112&lt;0.05</f>
        <v/>
      </c>
      <c r="F112">
        <f>A112=$B$5</f>
        <v/>
      </c>
      <c r="G112">
        <f>IF(E112,A112,10^9)</f>
        <v/>
      </c>
      <c r="H112">
        <f>IF(E112,D112,10^9)</f>
        <v/>
      </c>
    </row>
    <row r="113">
      <c r="A113" t="n">
        <v>105</v>
      </c>
      <c r="B113" t="n">
        <v>100.1147273963782</v>
      </c>
      <c r="C113" t="n">
        <v>0.02982267721071736</v>
      </c>
      <c r="D113" t="n">
        <v>358.8682727007762</v>
      </c>
      <c r="E113">
        <f>C113&lt;0.05</f>
        <v/>
      </c>
      <c r="F113">
        <f>A113=$B$5</f>
        <v/>
      </c>
      <c r="G113">
        <f>IF(E113,A113,10^9)</f>
        <v/>
      </c>
      <c r="H113">
        <f>IF(E113,D113,10^9)</f>
        <v/>
      </c>
    </row>
    <row r="114">
      <c r="A114" t="n">
        <v>106</v>
      </c>
      <c r="B114" t="n">
        <v>99.11472739637816</v>
      </c>
      <c r="C114" t="n">
        <v>0.02952479219433368</v>
      </c>
      <c r="D114" t="n">
        <v>359.0825584150619</v>
      </c>
      <c r="E114">
        <f>C114&lt;0.05</f>
        <v/>
      </c>
      <c r="F114">
        <f>A114=$B$5</f>
        <v/>
      </c>
      <c r="G114">
        <f>IF(E114,A114,10^9)</f>
        <v/>
      </c>
      <c r="H114">
        <f>IF(E114,D114,10^9)</f>
        <v/>
      </c>
    </row>
    <row r="115">
      <c r="A115" t="n">
        <v>107</v>
      </c>
      <c r="B115" t="n">
        <v>98.11472739637816</v>
      </c>
      <c r="C115" t="n">
        <v>0.02922690717795</v>
      </c>
      <c r="D115" t="n">
        <v>359.2968441293476</v>
      </c>
      <c r="E115">
        <f>C115&lt;0.05</f>
        <v/>
      </c>
      <c r="F115">
        <f>A115=$B$5</f>
        <v/>
      </c>
      <c r="G115">
        <f>IF(E115,A115,10^9)</f>
        <v/>
      </c>
      <c r="H115">
        <f>IF(E115,D115,10^9)</f>
        <v/>
      </c>
    </row>
    <row r="116">
      <c r="A116" t="n">
        <v>108</v>
      </c>
      <c r="B116" t="n">
        <v>97.11472739637816</v>
      </c>
      <c r="C116" t="n">
        <v>0.02892902216156632</v>
      </c>
      <c r="D116" t="n">
        <v>359.5111298436333</v>
      </c>
      <c r="E116">
        <f>C116&lt;0.05</f>
        <v/>
      </c>
      <c r="F116">
        <f>A116=$B$5</f>
        <v/>
      </c>
      <c r="G116">
        <f>IF(E116,A116,10^9)</f>
        <v/>
      </c>
      <c r="H116">
        <f>IF(E116,D116,10^9)</f>
        <v/>
      </c>
    </row>
    <row r="117">
      <c r="A117" t="n">
        <v>109</v>
      </c>
      <c r="B117" t="n">
        <v>96.11472739637816</v>
      </c>
      <c r="C117" t="n">
        <v>0.02863113714518265</v>
      </c>
      <c r="D117" t="n">
        <v>359.725415557919</v>
      </c>
      <c r="E117">
        <f>C117&lt;0.05</f>
        <v/>
      </c>
      <c r="F117">
        <f>A117=$B$5</f>
        <v/>
      </c>
      <c r="G117">
        <f>IF(E117,A117,10^9)</f>
        <v/>
      </c>
      <c r="H117">
        <f>IF(E117,D117,10^9)</f>
        <v/>
      </c>
    </row>
    <row r="118">
      <c r="A118" t="n">
        <v>110</v>
      </c>
      <c r="B118" t="n">
        <v>95.11472739637816</v>
      </c>
      <c r="C118" t="n">
        <v>0.02833325212879897</v>
      </c>
      <c r="D118" t="n">
        <v>359.9397012722047</v>
      </c>
      <c r="E118">
        <f>C118&lt;0.05</f>
        <v/>
      </c>
      <c r="F118">
        <f>A118=$B$5</f>
        <v/>
      </c>
      <c r="G118">
        <f>IF(E118,A118,10^9)</f>
        <v/>
      </c>
      <c r="H118">
        <f>IF(E118,D118,10^9)</f>
        <v/>
      </c>
    </row>
    <row r="119">
      <c r="A119" t="n">
        <v>111</v>
      </c>
      <c r="B119" t="n">
        <v>94.11472739637816</v>
      </c>
      <c r="C119" t="n">
        <v>0.0280353671124153</v>
      </c>
      <c r="D119" t="n">
        <v>360.1539869864905</v>
      </c>
      <c r="E119">
        <f>C119&lt;0.05</f>
        <v/>
      </c>
      <c r="F119">
        <f>A119=$B$5</f>
        <v/>
      </c>
      <c r="G119">
        <f>IF(E119,A119,10^9)</f>
        <v/>
      </c>
      <c r="H119">
        <f>IF(E119,D119,10^9)</f>
        <v/>
      </c>
    </row>
    <row r="120">
      <c r="A120" t="n">
        <v>112</v>
      </c>
      <c r="B120" t="n">
        <v>93.11472739637816</v>
      </c>
      <c r="C120" t="n">
        <v>0.02773748209603162</v>
      </c>
      <c r="D120" t="n">
        <v>360.3682727007762</v>
      </c>
      <c r="E120">
        <f>C120&lt;0.05</f>
        <v/>
      </c>
      <c r="F120">
        <f>A120=$B$5</f>
        <v/>
      </c>
      <c r="G120">
        <f>IF(E120,A120,10^9)</f>
        <v/>
      </c>
      <c r="H120">
        <f>IF(E120,D120,10^9)</f>
        <v/>
      </c>
    </row>
    <row r="121">
      <c r="A121" t="n">
        <v>113</v>
      </c>
      <c r="B121" t="n">
        <v>92.11472739637816</v>
      </c>
      <c r="C121" t="n">
        <v>0.02743959707964795</v>
      </c>
      <c r="D121" t="n">
        <v>360.5825584150619</v>
      </c>
      <c r="E121">
        <f>C121&lt;0.05</f>
        <v/>
      </c>
      <c r="F121">
        <f>A121=$B$5</f>
        <v/>
      </c>
      <c r="G121">
        <f>IF(E121,A121,10^9)</f>
        <v/>
      </c>
      <c r="H121">
        <f>IF(E121,D121,10^9)</f>
        <v/>
      </c>
    </row>
    <row r="122">
      <c r="A122" t="n">
        <v>114</v>
      </c>
      <c r="B122" t="n">
        <v>91.11472739637816</v>
      </c>
      <c r="C122" t="n">
        <v>0.02714171206326427</v>
      </c>
      <c r="D122" t="n">
        <v>360.7968441293476</v>
      </c>
      <c r="E122">
        <f>C122&lt;0.05</f>
        <v/>
      </c>
      <c r="F122">
        <f>A122=$B$5</f>
        <v/>
      </c>
      <c r="G122">
        <f>IF(E122,A122,10^9)</f>
        <v/>
      </c>
      <c r="H122">
        <f>IF(E122,D122,10^9)</f>
        <v/>
      </c>
    </row>
    <row r="123">
      <c r="A123" t="n">
        <v>115</v>
      </c>
      <c r="B123" t="n">
        <v>90.11472739637816</v>
      </c>
      <c r="C123" t="n">
        <v>0.02684382704688059</v>
      </c>
      <c r="D123" t="n">
        <v>361.0111298436333</v>
      </c>
      <c r="E123">
        <f>C123&lt;0.05</f>
        <v/>
      </c>
      <c r="F123">
        <f>A123=$B$5</f>
        <v/>
      </c>
      <c r="G123">
        <f>IF(E123,A123,10^9)</f>
        <v/>
      </c>
      <c r="H123">
        <f>IF(E123,D123,10^9)</f>
        <v/>
      </c>
    </row>
    <row r="124">
      <c r="A124" t="n">
        <v>116</v>
      </c>
      <c r="B124" t="n">
        <v>89.11472739637816</v>
      </c>
      <c r="C124" t="n">
        <v>0.02654594203049692</v>
      </c>
      <c r="D124" t="n">
        <v>361.225415557919</v>
      </c>
      <c r="E124">
        <f>C124&lt;0.05</f>
        <v/>
      </c>
      <c r="F124">
        <f>A124=$B$5</f>
        <v/>
      </c>
      <c r="G124">
        <f>IF(E124,A124,10^9)</f>
        <v/>
      </c>
      <c r="H124">
        <f>IF(E124,D124,10^9)</f>
        <v/>
      </c>
    </row>
    <row r="125">
      <c r="A125" t="n">
        <v>117</v>
      </c>
      <c r="B125" t="n">
        <v>88.11472739637816</v>
      </c>
      <c r="C125" t="n">
        <v>0.02624805701411324</v>
      </c>
      <c r="D125" t="n">
        <v>361.4397012722047</v>
      </c>
      <c r="E125">
        <f>C125&lt;0.05</f>
        <v/>
      </c>
      <c r="F125">
        <f>A125=$B$5</f>
        <v/>
      </c>
      <c r="G125">
        <f>IF(E125,A125,10^9)</f>
        <v/>
      </c>
      <c r="H125">
        <f>IF(E125,D125,10^9)</f>
        <v/>
      </c>
    </row>
    <row r="126">
      <c r="A126" t="n">
        <v>118</v>
      </c>
      <c r="B126" t="n">
        <v>87.11472739637816</v>
      </c>
      <c r="C126" t="n">
        <v>0.02595017199772957</v>
      </c>
      <c r="D126" t="n">
        <v>361.6539869864905</v>
      </c>
      <c r="E126">
        <f>C126&lt;0.05</f>
        <v/>
      </c>
      <c r="F126">
        <f>A126=$B$5</f>
        <v/>
      </c>
      <c r="G126">
        <f>IF(E126,A126,10^9)</f>
        <v/>
      </c>
      <c r="H126">
        <f>IF(E126,D126,10^9)</f>
        <v/>
      </c>
    </row>
    <row r="127">
      <c r="A127" t="n">
        <v>119</v>
      </c>
      <c r="B127" t="n">
        <v>86.11472739637816</v>
      </c>
      <c r="C127" t="n">
        <v>0.02565228698134589</v>
      </c>
      <c r="D127" t="n">
        <v>361.8682727007762</v>
      </c>
      <c r="E127">
        <f>C127&lt;0.05</f>
        <v/>
      </c>
      <c r="F127">
        <f>A127=$B$5</f>
        <v/>
      </c>
      <c r="G127">
        <f>IF(E127,A127,10^9)</f>
        <v/>
      </c>
      <c r="H127">
        <f>IF(E127,D127,10^9)</f>
        <v/>
      </c>
    </row>
    <row r="128">
      <c r="A128" t="n">
        <v>120</v>
      </c>
      <c r="B128" t="n">
        <v>85.11472739637816</v>
      </c>
      <c r="C128" t="n">
        <v>0.02535440196496222</v>
      </c>
      <c r="D128" t="n">
        <v>362.0825584150619</v>
      </c>
      <c r="E128">
        <f>C128&lt;0.05</f>
        <v/>
      </c>
      <c r="F128">
        <f>A128=$B$5</f>
        <v/>
      </c>
      <c r="G128">
        <f>IF(E128,A128,10^9)</f>
        <v/>
      </c>
      <c r="H128">
        <f>IF(E128,D128,10^9)</f>
        <v/>
      </c>
    </row>
    <row r="129">
      <c r="A129" t="n">
        <v>121</v>
      </c>
      <c r="B129" t="n">
        <v>84.11472739637816</v>
      </c>
      <c r="C129" t="n">
        <v>0.02505651694857854</v>
      </c>
      <c r="D129" t="n">
        <v>362.2968441293476</v>
      </c>
      <c r="E129">
        <f>C129&lt;0.05</f>
        <v/>
      </c>
      <c r="F129">
        <f>A129=$B$5</f>
        <v/>
      </c>
      <c r="G129">
        <f>IF(E129,A129,10^9)</f>
        <v/>
      </c>
      <c r="H129">
        <f>IF(E129,D129,10^9)</f>
        <v/>
      </c>
    </row>
    <row r="130">
      <c r="A130" t="n">
        <v>122</v>
      </c>
      <c r="B130" t="n">
        <v>83.11472739637816</v>
      </c>
      <c r="C130" t="n">
        <v>0.02475863193219486</v>
      </c>
      <c r="D130" t="n">
        <v>362.5111298436333</v>
      </c>
      <c r="E130">
        <f>C130&lt;0.05</f>
        <v/>
      </c>
      <c r="F130">
        <f>A130=$B$5</f>
        <v/>
      </c>
      <c r="G130">
        <f>IF(E130,A130,10^9)</f>
        <v/>
      </c>
      <c r="H130">
        <f>IF(E130,D130,10^9)</f>
        <v/>
      </c>
    </row>
    <row r="131">
      <c r="A131" t="n">
        <v>123</v>
      </c>
      <c r="B131" t="n">
        <v>82.11472739637816</v>
      </c>
      <c r="C131" t="n">
        <v>0.02446074691581119</v>
      </c>
      <c r="D131" t="n">
        <v>362.725415557919</v>
      </c>
      <c r="E131">
        <f>C131&lt;0.05</f>
        <v/>
      </c>
      <c r="F131">
        <f>A131=$B$5</f>
        <v/>
      </c>
      <c r="G131">
        <f>IF(E131,A131,10^9)</f>
        <v/>
      </c>
      <c r="H131">
        <f>IF(E131,D131,10^9)</f>
        <v/>
      </c>
    </row>
    <row r="132">
      <c r="A132" t="n">
        <v>124</v>
      </c>
      <c r="B132" t="n">
        <v>81.11472739637816</v>
      </c>
      <c r="C132" t="n">
        <v>0.02416286189942751</v>
      </c>
      <c r="D132" t="n">
        <v>362.9397012722047</v>
      </c>
      <c r="E132">
        <f>C132&lt;0.05</f>
        <v/>
      </c>
      <c r="F132">
        <f>A132=$B$5</f>
        <v/>
      </c>
      <c r="G132">
        <f>IF(E132,A132,10^9)</f>
        <v/>
      </c>
      <c r="H132">
        <f>IF(E132,D132,10^9)</f>
        <v/>
      </c>
    </row>
    <row r="133">
      <c r="A133" t="n">
        <v>125</v>
      </c>
      <c r="B133" t="n">
        <v>80.11472739637816</v>
      </c>
      <c r="C133" t="n">
        <v>0.02386497688304384</v>
      </c>
      <c r="D133" t="n">
        <v>363.1539869864905</v>
      </c>
      <c r="E133">
        <f>C133&lt;0.05</f>
        <v/>
      </c>
      <c r="F133">
        <f>A133=$B$5</f>
        <v/>
      </c>
      <c r="G133">
        <f>IF(E133,A133,10^9)</f>
        <v/>
      </c>
      <c r="H133">
        <f>IF(E133,D133,10^9)</f>
        <v/>
      </c>
    </row>
    <row r="134">
      <c r="A134" t="n">
        <v>126</v>
      </c>
      <c r="B134" t="n">
        <v>79.11472739637816</v>
      </c>
      <c r="C134" t="n">
        <v>0.02356709186666016</v>
      </c>
      <c r="D134" t="n">
        <v>363.3682727007762</v>
      </c>
      <c r="E134">
        <f>C134&lt;0.05</f>
        <v/>
      </c>
      <c r="F134">
        <f>A134=$B$5</f>
        <v/>
      </c>
      <c r="G134">
        <f>IF(E134,A134,10^9)</f>
        <v/>
      </c>
      <c r="H134">
        <f>IF(E134,D134,10^9)</f>
        <v/>
      </c>
    </row>
    <row r="135">
      <c r="A135" t="n">
        <v>127</v>
      </c>
      <c r="B135" t="n">
        <v>78.11472739637816</v>
      </c>
      <c r="C135" t="n">
        <v>0.02326920685027649</v>
      </c>
      <c r="D135" t="n">
        <v>363.5825584150619</v>
      </c>
      <c r="E135">
        <f>C135&lt;0.05</f>
        <v/>
      </c>
      <c r="F135">
        <f>A135=$B$5</f>
        <v/>
      </c>
      <c r="G135">
        <f>IF(E135,A135,10^9)</f>
        <v/>
      </c>
      <c r="H135">
        <f>IF(E135,D135,10^9)</f>
        <v/>
      </c>
    </row>
    <row r="136">
      <c r="A136" t="n">
        <v>128</v>
      </c>
      <c r="B136" t="n">
        <v>77.11472739637816</v>
      </c>
      <c r="C136" t="n">
        <v>0.02297132183389281</v>
      </c>
      <c r="D136" t="n">
        <v>363.7968441293476</v>
      </c>
      <c r="E136">
        <f>C136&lt;0.05</f>
        <v/>
      </c>
      <c r="F136">
        <f>A136=$B$5</f>
        <v/>
      </c>
      <c r="G136">
        <f>IF(E136,A136,10^9)</f>
        <v/>
      </c>
      <c r="H136">
        <f>IF(E136,D136,10^9)</f>
        <v/>
      </c>
    </row>
    <row r="137">
      <c r="A137" t="n">
        <v>129</v>
      </c>
      <c r="B137" t="n">
        <v>76.11472739637816</v>
      </c>
      <c r="C137" t="n">
        <v>0.02267343681750913</v>
      </c>
      <c r="D137" t="n">
        <v>364.0111298436333</v>
      </c>
      <c r="E137">
        <f>C137&lt;0.05</f>
        <v/>
      </c>
      <c r="F137">
        <f>A137=$B$5</f>
        <v/>
      </c>
      <c r="G137">
        <f>IF(E137,A137,10^9)</f>
        <v/>
      </c>
      <c r="H137">
        <f>IF(E137,D137,10^9)</f>
        <v/>
      </c>
    </row>
    <row r="138">
      <c r="A138" t="n">
        <v>130</v>
      </c>
      <c r="B138" t="n">
        <v>75.11472739637816</v>
      </c>
      <c r="C138" t="n">
        <v>0.02237555180112546</v>
      </c>
      <c r="D138" t="n">
        <v>389.6897012722047</v>
      </c>
      <c r="E138">
        <f>C138&lt;0.05</f>
        <v/>
      </c>
      <c r="F138">
        <f>A138=$B$5</f>
        <v/>
      </c>
      <c r="G138">
        <f>IF(E138,A138,10^9)</f>
        <v/>
      </c>
      <c r="H138">
        <f>IF(E138,D138,10^9)</f>
        <v/>
      </c>
    </row>
    <row r="139">
      <c r="A139" t="n">
        <v>131</v>
      </c>
      <c r="B139" t="n">
        <v>74.11472739637816</v>
      </c>
      <c r="C139" t="n">
        <v>0.02207766678474178</v>
      </c>
      <c r="D139" t="n">
        <v>389.9039869864905</v>
      </c>
      <c r="E139">
        <f>C139&lt;0.05</f>
        <v/>
      </c>
      <c r="F139">
        <f>A139=$B$5</f>
        <v/>
      </c>
      <c r="G139">
        <f>IF(E139,A139,10^9)</f>
        <v/>
      </c>
      <c r="H139">
        <f>IF(E139,D139,10^9)</f>
        <v/>
      </c>
    </row>
    <row r="140">
      <c r="A140" t="n">
        <v>132</v>
      </c>
      <c r="B140" t="n">
        <v>73.11472739637816</v>
      </c>
      <c r="C140" t="n">
        <v>0.0217797817683581</v>
      </c>
      <c r="D140" t="n">
        <v>390.1182727007762</v>
      </c>
      <c r="E140">
        <f>C140&lt;0.05</f>
        <v/>
      </c>
      <c r="F140">
        <f>A140=$B$5</f>
        <v/>
      </c>
      <c r="G140">
        <f>IF(E140,A140,10^9)</f>
        <v/>
      </c>
      <c r="H140">
        <f>IF(E140,D140,10^9)</f>
        <v/>
      </c>
    </row>
    <row r="141">
      <c r="A141" t="n">
        <v>133</v>
      </c>
      <c r="B141" t="n">
        <v>72.11472739637816</v>
      </c>
      <c r="C141" t="n">
        <v>0.02148189675197443</v>
      </c>
      <c r="D141" t="n">
        <v>390.3325584150619</v>
      </c>
      <c r="E141">
        <f>C141&lt;0.05</f>
        <v/>
      </c>
      <c r="F141">
        <f>A141=$B$5</f>
        <v/>
      </c>
      <c r="G141">
        <f>IF(E141,A141,10^9)</f>
        <v/>
      </c>
      <c r="H141">
        <f>IF(E141,D141,10^9)</f>
        <v/>
      </c>
    </row>
    <row r="142">
      <c r="A142" t="n">
        <v>134</v>
      </c>
      <c r="B142" t="n">
        <v>71.11472739637816</v>
      </c>
      <c r="C142" t="n">
        <v>0.02118401173559075</v>
      </c>
      <c r="D142" t="n">
        <v>390.5468441293476</v>
      </c>
      <c r="E142">
        <f>C142&lt;0.05</f>
        <v/>
      </c>
      <c r="F142">
        <f>A142=$B$5</f>
        <v/>
      </c>
      <c r="G142">
        <f>IF(E142,A142,10^9)</f>
        <v/>
      </c>
      <c r="H142">
        <f>IF(E142,D142,10^9)</f>
        <v/>
      </c>
    </row>
    <row r="143">
      <c r="A143" t="n">
        <v>135</v>
      </c>
      <c r="B143" t="n">
        <v>70.11472739637816</v>
      </c>
      <c r="C143" t="n">
        <v>0.02088612671920708</v>
      </c>
      <c r="D143" t="n">
        <v>390.7611298436333</v>
      </c>
      <c r="E143">
        <f>C143&lt;0.05</f>
        <v/>
      </c>
      <c r="F143">
        <f>A143=$B$5</f>
        <v/>
      </c>
      <c r="G143">
        <f>IF(E143,A143,10^9)</f>
        <v/>
      </c>
      <c r="H143">
        <f>IF(E143,D143,10^9)</f>
        <v/>
      </c>
    </row>
    <row r="144">
      <c r="A144" t="n">
        <v>136</v>
      </c>
      <c r="B144" t="n">
        <v>69.11472739637816</v>
      </c>
      <c r="C144" t="n">
        <v>0.0205882417028234</v>
      </c>
      <c r="D144" t="n">
        <v>390.975415557919</v>
      </c>
      <c r="E144">
        <f>C144&lt;0.05</f>
        <v/>
      </c>
      <c r="F144">
        <f>A144=$B$5</f>
        <v/>
      </c>
      <c r="G144">
        <f>IF(E144,A144,10^9)</f>
        <v/>
      </c>
      <c r="H144">
        <f>IF(E144,D144,10^9)</f>
        <v/>
      </c>
    </row>
    <row r="145">
      <c r="A145" t="n">
        <v>137</v>
      </c>
      <c r="B145" t="n">
        <v>68.11472739637816</v>
      </c>
      <c r="C145" t="n">
        <v>0.02029035668643972</v>
      </c>
      <c r="D145" t="n">
        <v>391.1897012722047</v>
      </c>
      <c r="E145">
        <f>C145&lt;0.05</f>
        <v/>
      </c>
      <c r="F145">
        <f>A145=$B$5</f>
        <v/>
      </c>
      <c r="G145">
        <f>IF(E145,A145,10^9)</f>
        <v/>
      </c>
      <c r="H145">
        <f>IF(E145,D145,10^9)</f>
        <v/>
      </c>
    </row>
    <row r="146">
      <c r="A146" t="n">
        <v>138</v>
      </c>
      <c r="B146" t="n">
        <v>67.11472739637816</v>
      </c>
      <c r="C146" t="n">
        <v>0.01999247167005605</v>
      </c>
      <c r="D146" t="n">
        <v>391.4039869864905</v>
      </c>
      <c r="E146">
        <f>C146&lt;0.05</f>
        <v/>
      </c>
      <c r="F146">
        <f>A146=$B$5</f>
        <v/>
      </c>
      <c r="G146">
        <f>IF(E146,A146,10^9)</f>
        <v/>
      </c>
      <c r="H146">
        <f>IF(E146,D146,10^9)</f>
        <v/>
      </c>
    </row>
    <row r="147">
      <c r="A147" t="n">
        <v>139</v>
      </c>
      <c r="B147" t="n">
        <v>66.11472739637816</v>
      </c>
      <c r="C147" t="n">
        <v>0.01969458665367237</v>
      </c>
      <c r="D147" t="n">
        <v>391.6182727007762</v>
      </c>
      <c r="E147">
        <f>C147&lt;0.05</f>
        <v/>
      </c>
      <c r="F147">
        <f>A147=$B$5</f>
        <v/>
      </c>
      <c r="G147">
        <f>IF(E147,A147,10^9)</f>
        <v/>
      </c>
      <c r="H147">
        <f>IF(E147,D147,10^9)</f>
        <v/>
      </c>
    </row>
    <row r="148">
      <c r="A148" t="n">
        <v>140</v>
      </c>
      <c r="B148" t="n">
        <v>65.11472739637816</v>
      </c>
      <c r="C148" t="n">
        <v>0.0193967016372887</v>
      </c>
      <c r="D148" t="n">
        <v>391.8325584150619</v>
      </c>
      <c r="E148">
        <f>C148&lt;0.05</f>
        <v/>
      </c>
      <c r="F148">
        <f>A148=$B$5</f>
        <v/>
      </c>
      <c r="G148">
        <f>IF(E148,A148,10^9)</f>
        <v/>
      </c>
      <c r="H148">
        <f>IF(E148,D148,10^9)</f>
        <v/>
      </c>
    </row>
    <row r="149">
      <c r="A149" t="n">
        <v>141</v>
      </c>
      <c r="B149" t="n">
        <v>64.11472739637816</v>
      </c>
      <c r="C149" t="n">
        <v>0.01909881662090502</v>
      </c>
      <c r="D149" t="n">
        <v>392.0468441293476</v>
      </c>
      <c r="E149">
        <f>C149&lt;0.05</f>
        <v/>
      </c>
      <c r="F149">
        <f>A149=$B$5</f>
        <v/>
      </c>
      <c r="G149">
        <f>IF(E149,A149,10^9)</f>
        <v/>
      </c>
      <c r="H149">
        <f>IF(E149,D149,10^9)</f>
        <v/>
      </c>
    </row>
    <row r="150">
      <c r="A150" t="n">
        <v>142</v>
      </c>
      <c r="B150" t="n">
        <v>63.11472739637816</v>
      </c>
      <c r="C150" t="n">
        <v>0.01880093160452135</v>
      </c>
      <c r="D150" t="n">
        <v>392.2611298436333</v>
      </c>
      <c r="E150">
        <f>C150&lt;0.05</f>
        <v/>
      </c>
      <c r="F150">
        <f>A150=$B$5</f>
        <v/>
      </c>
      <c r="G150">
        <f>IF(E150,A150,10^9)</f>
        <v/>
      </c>
      <c r="H150">
        <f>IF(E150,D150,10^9)</f>
        <v/>
      </c>
    </row>
    <row r="151">
      <c r="A151" t="n">
        <v>143</v>
      </c>
      <c r="B151" t="n">
        <v>62.11472739637816</v>
      </c>
      <c r="C151" t="n">
        <v>0.01850304658813767</v>
      </c>
      <c r="D151" t="n">
        <v>392.475415557919</v>
      </c>
      <c r="E151">
        <f>C151&lt;0.05</f>
        <v/>
      </c>
      <c r="F151">
        <f>A151=$B$5</f>
        <v/>
      </c>
      <c r="G151">
        <f>IF(E151,A151,10^9)</f>
        <v/>
      </c>
      <c r="H151">
        <f>IF(E151,D151,10^9)</f>
        <v/>
      </c>
    </row>
    <row r="152">
      <c r="A152" t="n">
        <v>144</v>
      </c>
      <c r="B152" t="n">
        <v>61.11472739637816</v>
      </c>
      <c r="C152" t="n">
        <v>0.01820516157175399</v>
      </c>
      <c r="D152" t="n">
        <v>392.6897012722047</v>
      </c>
      <c r="E152">
        <f>C152&lt;0.05</f>
        <v/>
      </c>
      <c r="F152">
        <f>A152=$B$5</f>
        <v/>
      </c>
      <c r="G152">
        <f>IF(E152,A152,10^9)</f>
        <v/>
      </c>
      <c r="H152">
        <f>IF(E152,D152,10^9)</f>
        <v/>
      </c>
    </row>
    <row r="153">
      <c r="A153" t="n">
        <v>145</v>
      </c>
      <c r="B153" t="n">
        <v>60.11472739637816</v>
      </c>
      <c r="C153" t="n">
        <v>0.01790727655537032</v>
      </c>
      <c r="D153" t="n">
        <v>392.9039869864905</v>
      </c>
      <c r="E153">
        <f>C153&lt;0.05</f>
        <v/>
      </c>
      <c r="F153">
        <f>A153=$B$5</f>
        <v/>
      </c>
      <c r="G153">
        <f>IF(E153,A153,10^9)</f>
        <v/>
      </c>
      <c r="H153">
        <f>IF(E153,D153,10^9)</f>
        <v/>
      </c>
    </row>
    <row r="154">
      <c r="A154" t="n">
        <v>146</v>
      </c>
      <c r="B154" t="n">
        <v>59.11472739637816</v>
      </c>
      <c r="C154" t="n">
        <v>0.01760939153898664</v>
      </c>
      <c r="D154" t="n">
        <v>393.1182727007762</v>
      </c>
      <c r="E154">
        <f>C154&lt;0.05</f>
        <v/>
      </c>
      <c r="F154">
        <f>A154=$B$5</f>
        <v/>
      </c>
      <c r="G154">
        <f>IF(E154,A154,10^9)</f>
        <v/>
      </c>
      <c r="H154">
        <f>IF(E154,D154,10^9)</f>
        <v/>
      </c>
    </row>
    <row r="155">
      <c r="A155" t="n">
        <v>147</v>
      </c>
      <c r="B155" t="n">
        <v>58.11472739637816</v>
      </c>
      <c r="C155" t="n">
        <v>0.01731150652260297</v>
      </c>
      <c r="D155" t="n">
        <v>393.3325584150619</v>
      </c>
      <c r="E155">
        <f>C155&lt;0.05</f>
        <v/>
      </c>
      <c r="F155">
        <f>A155=$B$5</f>
        <v/>
      </c>
      <c r="G155">
        <f>IF(E155,A155,10^9)</f>
        <v/>
      </c>
      <c r="H155">
        <f>IF(E155,D155,10^9)</f>
        <v/>
      </c>
    </row>
    <row r="156">
      <c r="A156" t="n">
        <v>148</v>
      </c>
      <c r="B156" t="n">
        <v>57.11472739637816</v>
      </c>
      <c r="C156" t="n">
        <v>0.01701362150621929</v>
      </c>
      <c r="D156" t="n">
        <v>393.5468441293476</v>
      </c>
      <c r="E156">
        <f>C156&lt;0.05</f>
        <v/>
      </c>
      <c r="F156">
        <f>A156=$B$5</f>
        <v/>
      </c>
      <c r="G156">
        <f>IF(E156,A156,10^9)</f>
        <v/>
      </c>
      <c r="H156">
        <f>IF(E156,D156,10^9)</f>
        <v/>
      </c>
    </row>
    <row r="157">
      <c r="A157" t="n">
        <v>149</v>
      </c>
      <c r="B157" t="n">
        <v>56.11472739637816</v>
      </c>
      <c r="C157" t="n">
        <v>0.01671573648983561</v>
      </c>
      <c r="D157" t="n">
        <v>393.7611298436333</v>
      </c>
      <c r="E157">
        <f>C157&lt;0.05</f>
        <v/>
      </c>
      <c r="F157">
        <f>A157=$B$5</f>
        <v/>
      </c>
      <c r="G157">
        <f>IF(E157,A157,10^9)</f>
        <v/>
      </c>
      <c r="H157">
        <f>IF(E157,D157,10^9)</f>
        <v/>
      </c>
    </row>
    <row r="158">
      <c r="A158" t="n">
        <v>150</v>
      </c>
      <c r="B158" t="n">
        <v>55.11472739637816</v>
      </c>
      <c r="C158" t="n">
        <v>0.01641785147345194</v>
      </c>
      <c r="D158" t="n">
        <v>393.975415557919</v>
      </c>
      <c r="E158">
        <f>C158&lt;0.05</f>
        <v/>
      </c>
      <c r="F158">
        <f>A158=$B$5</f>
        <v/>
      </c>
      <c r="G158">
        <f>IF(E158,A158,10^9)</f>
        <v/>
      </c>
      <c r="H158">
        <f>IF(E158,D158,10^9)</f>
        <v/>
      </c>
    </row>
    <row r="159">
      <c r="A159" t="n">
        <v>151</v>
      </c>
      <c r="B159" t="n">
        <v>54.11472739637816</v>
      </c>
      <c r="C159" t="n">
        <v>0.01611996645706826</v>
      </c>
      <c r="D159" t="n">
        <v>394.1897012722047</v>
      </c>
      <c r="E159">
        <f>C159&lt;0.05</f>
        <v/>
      </c>
      <c r="F159">
        <f>A159=$B$5</f>
        <v/>
      </c>
      <c r="G159">
        <f>IF(E159,A159,10^9)</f>
        <v/>
      </c>
      <c r="H159">
        <f>IF(E159,D159,10^9)</f>
        <v/>
      </c>
    </row>
    <row r="160">
      <c r="A160" t="n">
        <v>152</v>
      </c>
      <c r="B160" t="n">
        <v>53.11472739637816</v>
      </c>
      <c r="C160" t="n">
        <v>0.01582208144068459</v>
      </c>
      <c r="D160" t="n">
        <v>394.4039869864905</v>
      </c>
      <c r="E160">
        <f>C160&lt;0.05</f>
        <v/>
      </c>
      <c r="F160">
        <f>A160=$B$5</f>
        <v/>
      </c>
      <c r="G160">
        <f>IF(E160,A160,10^9)</f>
        <v/>
      </c>
      <c r="H160">
        <f>IF(E160,D160,10^9)</f>
        <v/>
      </c>
    </row>
    <row r="161">
      <c r="A161" t="n">
        <v>153</v>
      </c>
      <c r="B161" t="n">
        <v>52.11472739637816</v>
      </c>
      <c r="C161" t="n">
        <v>0.01552419642430091</v>
      </c>
      <c r="D161" t="n">
        <v>394.6182727007762</v>
      </c>
      <c r="E161">
        <f>C161&lt;0.05</f>
        <v/>
      </c>
      <c r="F161">
        <f>A161=$B$5</f>
        <v/>
      </c>
      <c r="G161">
        <f>IF(E161,A161,10^9)</f>
        <v/>
      </c>
      <c r="H161">
        <f>IF(E161,D161,10^9)</f>
        <v/>
      </c>
    </row>
    <row r="162">
      <c r="A162" t="n">
        <v>154</v>
      </c>
      <c r="B162" t="n">
        <v>51.11472739637816</v>
      </c>
      <c r="C162" t="n">
        <v>0.01522631140791723</v>
      </c>
      <c r="D162" t="n">
        <v>394.8325584150619</v>
      </c>
      <c r="E162">
        <f>C162&lt;0.05</f>
        <v/>
      </c>
      <c r="F162">
        <f>A162=$B$5</f>
        <v/>
      </c>
      <c r="G162">
        <f>IF(E162,A162,10^9)</f>
        <v/>
      </c>
      <c r="H162">
        <f>IF(E162,D162,10^9)</f>
        <v/>
      </c>
    </row>
    <row r="163">
      <c r="A163" t="n">
        <v>155</v>
      </c>
      <c r="B163" t="n">
        <v>50.11472739637816</v>
      </c>
      <c r="C163" t="n">
        <v>0.01492842639153356</v>
      </c>
      <c r="D163" t="n">
        <v>395.0468441293476</v>
      </c>
      <c r="E163">
        <f>C163&lt;0.05</f>
        <v/>
      </c>
      <c r="F163">
        <f>A163=$B$5</f>
        <v/>
      </c>
      <c r="G163">
        <f>IF(E163,A163,10^9)</f>
        <v/>
      </c>
      <c r="H163">
        <f>IF(E163,D163,10^9)</f>
        <v/>
      </c>
    </row>
    <row r="164">
      <c r="A164" t="n">
        <v>156</v>
      </c>
      <c r="B164" t="n">
        <v>49.11472739637816</v>
      </c>
      <c r="C164" t="n">
        <v>0.01463054137514988</v>
      </c>
      <c r="D164" t="n">
        <v>395.2611298436333</v>
      </c>
      <c r="E164">
        <f>C164&lt;0.05</f>
        <v/>
      </c>
      <c r="F164">
        <f>A164=$B$5</f>
        <v/>
      </c>
      <c r="G164">
        <f>IF(E164,A164,10^9)</f>
        <v/>
      </c>
      <c r="H164">
        <f>IF(E164,D164,10^9)</f>
        <v/>
      </c>
    </row>
    <row r="165">
      <c r="A165" t="n">
        <v>157</v>
      </c>
      <c r="B165" t="n">
        <v>48.11472739637816</v>
      </c>
      <c r="C165" t="n">
        <v>0.01433265635876621</v>
      </c>
      <c r="D165" t="n">
        <v>395.475415557919</v>
      </c>
      <c r="E165">
        <f>C165&lt;0.05</f>
        <v/>
      </c>
      <c r="F165">
        <f>A165=$B$5</f>
        <v/>
      </c>
      <c r="G165">
        <f>IF(E165,A165,10^9)</f>
        <v/>
      </c>
      <c r="H165">
        <f>IF(E165,D165,10^9)</f>
        <v/>
      </c>
    </row>
    <row r="166">
      <c r="A166" t="n">
        <v>158</v>
      </c>
      <c r="B166" t="n">
        <v>47.11472739637816</v>
      </c>
      <c r="C166" t="n">
        <v>0.01403477134238253</v>
      </c>
      <c r="D166" t="n">
        <v>395.6897012722047</v>
      </c>
      <c r="E166">
        <f>C166&lt;0.05</f>
        <v/>
      </c>
      <c r="F166">
        <f>A166=$B$5</f>
        <v/>
      </c>
      <c r="G166">
        <f>IF(E166,A166,10^9)</f>
        <v/>
      </c>
      <c r="H166">
        <f>IF(E166,D166,10^9)</f>
        <v/>
      </c>
    </row>
    <row r="167">
      <c r="A167" t="n">
        <v>159</v>
      </c>
      <c r="B167" t="n">
        <v>46.11472739637816</v>
      </c>
      <c r="C167" t="n">
        <v>0.01373688632599885</v>
      </c>
      <c r="D167" t="n">
        <v>395.9039869864905</v>
      </c>
      <c r="E167">
        <f>C167&lt;0.05</f>
        <v/>
      </c>
      <c r="F167">
        <f>A167=$B$5</f>
        <v/>
      </c>
      <c r="G167">
        <f>IF(E167,A167,10^9)</f>
        <v/>
      </c>
      <c r="H167">
        <f>IF(E167,D167,10^9)</f>
        <v/>
      </c>
    </row>
    <row r="168">
      <c r="A168" t="n">
        <v>160</v>
      </c>
      <c r="B168" t="n">
        <v>45.11472739637816</v>
      </c>
      <c r="C168" t="n">
        <v>0.01343900130961518</v>
      </c>
      <c r="D168" t="n">
        <v>396.1182727007762</v>
      </c>
      <c r="E168">
        <f>C168&lt;0.05</f>
        <v/>
      </c>
      <c r="F168">
        <f>A168=$B$5</f>
        <v/>
      </c>
      <c r="G168">
        <f>IF(E168,A168,10^9)</f>
        <v/>
      </c>
      <c r="H168">
        <f>IF(E168,D168,10^9)</f>
        <v/>
      </c>
    </row>
    <row r="169">
      <c r="A169" t="n">
        <v>161</v>
      </c>
      <c r="B169" t="n">
        <v>44.11472739637816</v>
      </c>
      <c r="C169" t="n">
        <v>0.0131411162932315</v>
      </c>
      <c r="D169" t="n">
        <v>396.3325584150619</v>
      </c>
      <c r="E169">
        <f>C169&lt;0.05</f>
        <v/>
      </c>
      <c r="F169">
        <f>A169=$B$5</f>
        <v/>
      </c>
      <c r="G169">
        <f>IF(E169,A169,10^9)</f>
        <v/>
      </c>
      <c r="H169">
        <f>IF(E169,D169,10^9)</f>
        <v/>
      </c>
    </row>
    <row r="170">
      <c r="A170" t="n">
        <v>162</v>
      </c>
      <c r="B170" t="n">
        <v>43.11472739637816</v>
      </c>
      <c r="C170" t="n">
        <v>0.01284323127684783</v>
      </c>
      <c r="D170" t="n">
        <v>396.5468441293476</v>
      </c>
      <c r="E170">
        <f>C170&lt;0.05</f>
        <v/>
      </c>
      <c r="F170">
        <f>A170=$B$5</f>
        <v/>
      </c>
      <c r="G170">
        <f>IF(E170,A170,10^9)</f>
        <v/>
      </c>
      <c r="H170">
        <f>IF(E170,D170,10^9)</f>
        <v/>
      </c>
    </row>
    <row r="171">
      <c r="A171" t="n">
        <v>163</v>
      </c>
      <c r="B171" t="n">
        <v>42.11472739637816</v>
      </c>
      <c r="C171" t="n">
        <v>0.01254534626046415</v>
      </c>
      <c r="D171" t="n">
        <v>396.7611298436333</v>
      </c>
      <c r="E171">
        <f>C171&lt;0.05</f>
        <v/>
      </c>
      <c r="F171">
        <f>A171=$B$5</f>
        <v/>
      </c>
      <c r="G171">
        <f>IF(E171,A171,10^9)</f>
        <v/>
      </c>
      <c r="H171">
        <f>IF(E171,D171,10^9)</f>
        <v/>
      </c>
    </row>
    <row r="172">
      <c r="A172" t="n">
        <v>164</v>
      </c>
      <c r="B172" t="n">
        <v>41.11472739637816</v>
      </c>
      <c r="C172" t="n">
        <v>0.01224746124408048</v>
      </c>
      <c r="D172" t="n">
        <v>396.975415557919</v>
      </c>
      <c r="E172">
        <f>C172&lt;0.05</f>
        <v/>
      </c>
      <c r="F172">
        <f>A172=$B$5</f>
        <v/>
      </c>
      <c r="G172">
        <f>IF(E172,A172,10^9)</f>
        <v/>
      </c>
      <c r="H172">
        <f>IF(E172,D172,10^9)</f>
        <v/>
      </c>
    </row>
    <row r="173">
      <c r="A173" t="n">
        <v>165</v>
      </c>
      <c r="B173" t="n">
        <v>40.11472739637816</v>
      </c>
      <c r="C173" t="n">
        <v>0.0119495762276968</v>
      </c>
      <c r="D173" t="n">
        <v>397.1897012722047</v>
      </c>
      <c r="E173">
        <f>C173&lt;0.05</f>
        <v/>
      </c>
      <c r="F173">
        <f>A173=$B$5</f>
        <v/>
      </c>
      <c r="G173">
        <f>IF(E173,A173,10^9)</f>
        <v/>
      </c>
      <c r="H173">
        <f>IF(E173,D173,10^9)</f>
        <v/>
      </c>
    </row>
    <row r="174">
      <c r="A174" t="n">
        <v>166</v>
      </c>
      <c r="B174" t="n">
        <v>39.11472739637816</v>
      </c>
      <c r="C174" t="n">
        <v>0.01165169121131312</v>
      </c>
      <c r="D174" t="n">
        <v>397.4039869864905</v>
      </c>
      <c r="E174">
        <f>C174&lt;0.05</f>
        <v/>
      </c>
      <c r="F174">
        <f>A174=$B$5</f>
        <v/>
      </c>
      <c r="G174">
        <f>IF(E174,A174,10^9)</f>
        <v/>
      </c>
      <c r="H174">
        <f>IF(E174,D174,10^9)</f>
        <v/>
      </c>
    </row>
    <row r="175">
      <c r="A175" t="n">
        <v>167</v>
      </c>
      <c r="B175" t="n">
        <v>38.11472739637816</v>
      </c>
      <c r="C175" t="n">
        <v>0.01135380619492945</v>
      </c>
      <c r="D175" t="n">
        <v>397.6182727007762</v>
      </c>
      <c r="E175">
        <f>C175&lt;0.05</f>
        <v/>
      </c>
      <c r="F175">
        <f>A175=$B$5</f>
        <v/>
      </c>
      <c r="G175">
        <f>IF(E175,A175,10^9)</f>
        <v/>
      </c>
      <c r="H175">
        <f>IF(E175,D175,10^9)</f>
        <v/>
      </c>
    </row>
    <row r="176">
      <c r="A176" t="n">
        <v>168</v>
      </c>
      <c r="B176" t="n">
        <v>37.11472739637816</v>
      </c>
      <c r="C176" t="n">
        <v>0.01105592117854577</v>
      </c>
      <c r="D176" t="n">
        <v>397.8325584150619</v>
      </c>
      <c r="E176">
        <f>C176&lt;0.05</f>
        <v/>
      </c>
      <c r="F176">
        <f>A176=$B$5</f>
        <v/>
      </c>
      <c r="G176">
        <f>IF(E176,A176,10^9)</f>
        <v/>
      </c>
      <c r="H176">
        <f>IF(E176,D176,10^9)</f>
        <v/>
      </c>
    </row>
    <row r="177">
      <c r="A177" t="n">
        <v>169</v>
      </c>
      <c r="B177" t="n">
        <v>36.11472739637816</v>
      </c>
      <c r="C177" t="n">
        <v>0.0107580361621621</v>
      </c>
      <c r="D177" t="n">
        <v>398.0468441293476</v>
      </c>
      <c r="E177">
        <f>C177&lt;0.05</f>
        <v/>
      </c>
      <c r="F177">
        <f>A177=$B$5</f>
        <v/>
      </c>
      <c r="G177">
        <f>IF(E177,A177,10^9)</f>
        <v/>
      </c>
      <c r="H177">
        <f>IF(E177,D177,10^9)</f>
        <v/>
      </c>
    </row>
    <row r="178">
      <c r="A178" t="n">
        <v>170</v>
      </c>
      <c r="B178" t="n">
        <v>35.11472739637816</v>
      </c>
      <c r="C178" t="n">
        <v>0.01046015114577842</v>
      </c>
      <c r="D178" t="n">
        <v>398.2611298436333</v>
      </c>
      <c r="E178">
        <f>C178&lt;0.05</f>
        <v/>
      </c>
      <c r="F178">
        <f>A178=$B$5</f>
        <v/>
      </c>
      <c r="G178">
        <f>IF(E178,A178,10^9)</f>
        <v/>
      </c>
      <c r="H178">
        <f>IF(E178,D178,10^9)</f>
        <v/>
      </c>
    </row>
    <row r="179">
      <c r="A179" t="n">
        <v>171</v>
      </c>
      <c r="B179" t="n">
        <v>34.11472739637816</v>
      </c>
      <c r="C179" t="n">
        <v>0.01016226612939474</v>
      </c>
      <c r="D179" t="n">
        <v>398.475415557919</v>
      </c>
      <c r="E179">
        <f>C179&lt;0.05</f>
        <v/>
      </c>
      <c r="F179">
        <f>A179=$B$5</f>
        <v/>
      </c>
      <c r="G179">
        <f>IF(E179,A179,10^9)</f>
        <v/>
      </c>
      <c r="H179">
        <f>IF(E179,D179,10^9)</f>
        <v/>
      </c>
    </row>
    <row r="180">
      <c r="A180" t="n">
        <v>172</v>
      </c>
      <c r="B180" t="n">
        <v>33.11472739637816</v>
      </c>
      <c r="C180" t="n">
        <v>0.009864381113011068</v>
      </c>
      <c r="D180" t="n">
        <v>398.6897012722047</v>
      </c>
      <c r="E180">
        <f>C180&lt;0.05</f>
        <v/>
      </c>
      <c r="F180">
        <f>A180=$B$5</f>
        <v/>
      </c>
      <c r="G180">
        <f>IF(E180,A180,10^9)</f>
        <v/>
      </c>
      <c r="H180">
        <f>IF(E180,D180,10^9)</f>
        <v/>
      </c>
    </row>
    <row r="181">
      <c r="A181" t="n">
        <v>173</v>
      </c>
      <c r="B181" t="n">
        <v>32.11472739637816</v>
      </c>
      <c r="C181" t="n">
        <v>0.009566496096627393</v>
      </c>
      <c r="D181" t="n">
        <v>398.9039869864905</v>
      </c>
      <c r="E181">
        <f>C181&lt;0.05</f>
        <v/>
      </c>
      <c r="F181">
        <f>A181=$B$5</f>
        <v/>
      </c>
      <c r="G181">
        <f>IF(E181,A181,10^9)</f>
        <v/>
      </c>
      <c r="H181">
        <f>IF(E181,D181,10^9)</f>
        <v/>
      </c>
    </row>
    <row r="182">
      <c r="A182" t="n">
        <v>174</v>
      </c>
      <c r="B182" t="n">
        <v>31.11472739637816</v>
      </c>
      <c r="C182" t="n">
        <v>0.009268611080243717</v>
      </c>
      <c r="D182" t="n">
        <v>399.1182727007762</v>
      </c>
      <c r="E182">
        <f>C182&lt;0.05</f>
        <v/>
      </c>
      <c r="F182">
        <f>A182=$B$5</f>
        <v/>
      </c>
      <c r="G182">
        <f>IF(E182,A182,10^9)</f>
        <v/>
      </c>
      <c r="H182">
        <f>IF(E182,D182,10^9)</f>
        <v/>
      </c>
    </row>
    <row r="183">
      <c r="A183" t="n">
        <v>175</v>
      </c>
      <c r="B183" t="n">
        <v>30.11472739637816</v>
      </c>
      <c r="C183" t="n">
        <v>0.008970726063860041</v>
      </c>
      <c r="D183" t="n">
        <v>399.3325584150619</v>
      </c>
      <c r="E183">
        <f>C183&lt;0.05</f>
        <v/>
      </c>
      <c r="F183">
        <f>A183=$B$5</f>
        <v/>
      </c>
      <c r="G183">
        <f>IF(E183,A183,10^9)</f>
        <v/>
      </c>
      <c r="H183">
        <f>IF(E183,D183,10^9)</f>
        <v/>
      </c>
    </row>
    <row r="184">
      <c r="A184" t="n">
        <v>176</v>
      </c>
      <c r="B184" t="n">
        <v>29.11472739637816</v>
      </c>
      <c r="C184" t="n">
        <v>0.008672841047476365</v>
      </c>
      <c r="D184" t="n">
        <v>399.5468441293476</v>
      </c>
      <c r="E184">
        <f>C184&lt;0.05</f>
        <v/>
      </c>
      <c r="F184">
        <f>A184=$B$5</f>
        <v/>
      </c>
      <c r="G184">
        <f>IF(E184,A184,10^9)</f>
        <v/>
      </c>
      <c r="H184">
        <f>IF(E184,D184,10^9)</f>
        <v/>
      </c>
    </row>
    <row r="185">
      <c r="A185" t="n">
        <v>177</v>
      </c>
      <c r="B185" t="n">
        <v>28.11472739637816</v>
      </c>
      <c r="C185" t="n">
        <v>0.008374956031092689</v>
      </c>
      <c r="D185" t="n">
        <v>399.7611298436333</v>
      </c>
      <c r="E185">
        <f>C185&lt;0.05</f>
        <v/>
      </c>
      <c r="F185">
        <f>A185=$B$5</f>
        <v/>
      </c>
      <c r="G185">
        <f>IF(E185,A185,10^9)</f>
        <v/>
      </c>
      <c r="H185">
        <f>IF(E185,D185,10^9)</f>
        <v/>
      </c>
    </row>
    <row r="186">
      <c r="A186" t="n">
        <v>178</v>
      </c>
      <c r="B186" t="n">
        <v>27.11472739637816</v>
      </c>
      <c r="C186" t="n">
        <v>0.008077071014709013</v>
      </c>
      <c r="D186" t="n">
        <v>399.975415557919</v>
      </c>
      <c r="E186">
        <f>C186&lt;0.05</f>
        <v/>
      </c>
      <c r="F186">
        <f>A186=$B$5</f>
        <v/>
      </c>
      <c r="G186">
        <f>IF(E186,A186,10^9)</f>
        <v/>
      </c>
      <c r="H186">
        <f>IF(E186,D186,10^9)</f>
        <v/>
      </c>
    </row>
    <row r="187">
      <c r="A187" t="n">
        <v>179</v>
      </c>
      <c r="B187" t="n">
        <v>26.11472739637816</v>
      </c>
      <c r="C187" t="n">
        <v>0.007779185998325337</v>
      </c>
      <c r="D187" t="n">
        <v>400.1897012722047</v>
      </c>
      <c r="E187">
        <f>C187&lt;0.05</f>
        <v/>
      </c>
      <c r="F187">
        <f>A187=$B$5</f>
        <v/>
      </c>
      <c r="G187">
        <f>IF(E187,A187,10^9)</f>
        <v/>
      </c>
      <c r="H187">
        <f>IF(E187,D187,10^9)</f>
        <v/>
      </c>
    </row>
    <row r="188">
      <c r="A188" t="n">
        <v>180</v>
      </c>
      <c r="B188" t="n">
        <v>25.11472739637816</v>
      </c>
      <c r="C188" t="n">
        <v>0.007481300981941661</v>
      </c>
      <c r="D188" t="n">
        <v>400.4039869864905</v>
      </c>
      <c r="E188">
        <f>C188&lt;0.05</f>
        <v/>
      </c>
      <c r="F188">
        <f>A188=$B$5</f>
        <v/>
      </c>
      <c r="G188">
        <f>IF(E188,A188,10^9)</f>
        <v/>
      </c>
      <c r="H188">
        <f>IF(E188,D188,10^9)</f>
        <v/>
      </c>
    </row>
    <row r="189">
      <c r="A189" t="n">
        <v>181</v>
      </c>
      <c r="B189" t="n">
        <v>24.11472739637816</v>
      </c>
      <c r="C189" t="n">
        <v>0.007183415965557985</v>
      </c>
      <c r="D189" t="n">
        <v>400.6182727007762</v>
      </c>
      <c r="E189">
        <f>C189&lt;0.05</f>
        <v/>
      </c>
      <c r="F189">
        <f>A189=$B$5</f>
        <v/>
      </c>
      <c r="G189">
        <f>IF(E189,A189,10^9)</f>
        <v/>
      </c>
      <c r="H189">
        <f>IF(E189,D189,10^9)</f>
        <v/>
      </c>
    </row>
    <row r="190">
      <c r="A190" t="n">
        <v>182</v>
      </c>
      <c r="B190" t="n">
        <v>23.11472739637816</v>
      </c>
      <c r="C190" t="n">
        <v>0.006885530949174309</v>
      </c>
      <c r="D190" t="n">
        <v>400.8325584150619</v>
      </c>
      <c r="E190">
        <f>C190&lt;0.05</f>
        <v/>
      </c>
      <c r="F190">
        <f>A190=$B$5</f>
        <v/>
      </c>
      <c r="G190">
        <f>IF(E190,A190,10^9)</f>
        <v/>
      </c>
      <c r="H190">
        <f>IF(E190,D190,10^9)</f>
        <v/>
      </c>
    </row>
    <row r="191">
      <c r="A191" t="n">
        <v>183</v>
      </c>
      <c r="B191" t="n">
        <v>22.11472739637816</v>
      </c>
      <c r="C191" t="n">
        <v>0.006587645932790633</v>
      </c>
      <c r="D191" t="n">
        <v>401.0468441293476</v>
      </c>
      <c r="E191">
        <f>C191&lt;0.05</f>
        <v/>
      </c>
      <c r="F191">
        <f>A191=$B$5</f>
        <v/>
      </c>
      <c r="G191">
        <f>IF(E191,A191,10^9)</f>
        <v/>
      </c>
      <c r="H191">
        <f>IF(E191,D191,10^9)</f>
        <v/>
      </c>
    </row>
    <row r="192">
      <c r="A192" t="n">
        <v>184</v>
      </c>
      <c r="B192" t="n">
        <v>21.11472739637816</v>
      </c>
      <c r="C192" t="n">
        <v>0.006289760916406957</v>
      </c>
      <c r="D192" t="n">
        <v>401.2611298436333</v>
      </c>
      <c r="E192">
        <f>C192&lt;0.05</f>
        <v/>
      </c>
      <c r="F192">
        <f>A192=$B$5</f>
        <v/>
      </c>
      <c r="G192">
        <f>IF(E192,A192,10^9)</f>
        <v/>
      </c>
      <c r="H192">
        <f>IF(E192,D192,10^9)</f>
        <v/>
      </c>
    </row>
    <row r="193">
      <c r="A193" t="n">
        <v>185</v>
      </c>
      <c r="B193" t="n">
        <v>20.11472739637816</v>
      </c>
      <c r="C193" t="n">
        <v>0.005991875900023282</v>
      </c>
      <c r="D193" t="n">
        <v>401.475415557919</v>
      </c>
      <c r="E193">
        <f>C193&lt;0.05</f>
        <v/>
      </c>
      <c r="F193">
        <f>A193=$B$5</f>
        <v/>
      </c>
      <c r="G193">
        <f>IF(E193,A193,10^9)</f>
        <v/>
      </c>
      <c r="H193">
        <f>IF(E193,D193,10^9)</f>
        <v/>
      </c>
    </row>
    <row r="194">
      <c r="A194" t="n">
        <v>186</v>
      </c>
      <c r="B194" t="n">
        <v>19.11472739637816</v>
      </c>
      <c r="C194" t="n">
        <v>0.005693990883639606</v>
      </c>
      <c r="D194" t="n">
        <v>401.6897012722047</v>
      </c>
      <c r="E194">
        <f>C194&lt;0.05</f>
        <v/>
      </c>
      <c r="F194">
        <f>A194=$B$5</f>
        <v/>
      </c>
      <c r="G194">
        <f>IF(E194,A194,10^9)</f>
        <v/>
      </c>
      <c r="H194">
        <f>IF(E194,D194,10^9)</f>
        <v/>
      </c>
    </row>
    <row r="195">
      <c r="A195" t="n">
        <v>187</v>
      </c>
      <c r="B195" t="n">
        <v>18.11472739637816</v>
      </c>
      <c r="C195" t="n">
        <v>0.00539610586725593</v>
      </c>
      <c r="D195" t="n">
        <v>401.9039869864905</v>
      </c>
      <c r="E195">
        <f>C195&lt;0.05</f>
        <v/>
      </c>
      <c r="F195">
        <f>A195=$B$5</f>
        <v/>
      </c>
      <c r="G195">
        <f>IF(E195,A195,10^9)</f>
        <v/>
      </c>
      <c r="H195">
        <f>IF(E195,D195,10^9)</f>
        <v/>
      </c>
    </row>
    <row r="196">
      <c r="A196" t="n">
        <v>188</v>
      </c>
      <c r="B196" t="n">
        <v>17.11472739637816</v>
      </c>
      <c r="C196" t="n">
        <v>0.005098220850872254</v>
      </c>
      <c r="D196" t="n">
        <v>402.1182727007762</v>
      </c>
      <c r="E196">
        <f>C196&lt;0.05</f>
        <v/>
      </c>
      <c r="F196">
        <f>A196=$B$5</f>
        <v/>
      </c>
      <c r="G196">
        <f>IF(E196,A196,10^9)</f>
        <v/>
      </c>
      <c r="H196">
        <f>IF(E196,D196,10^9)</f>
        <v/>
      </c>
    </row>
    <row r="197">
      <c r="A197" t="n">
        <v>189</v>
      </c>
      <c r="B197" t="n">
        <v>16.11472739637816</v>
      </c>
      <c r="C197" t="n">
        <v>0.004800335834488578</v>
      </c>
      <c r="D197" t="n">
        <v>402.3325584150619</v>
      </c>
      <c r="E197">
        <f>C197&lt;0.05</f>
        <v/>
      </c>
      <c r="F197">
        <f>A197=$B$5</f>
        <v/>
      </c>
      <c r="G197">
        <f>IF(E197,A197,10^9)</f>
        <v/>
      </c>
      <c r="H197">
        <f>IF(E197,D197,10^9)</f>
        <v/>
      </c>
    </row>
    <row r="198">
      <c r="A198" t="n">
        <v>190</v>
      </c>
      <c r="B198" t="n">
        <v>15.11472739637816</v>
      </c>
      <c r="C198" t="n">
        <v>0.004502450818104902</v>
      </c>
      <c r="D198" t="n">
        <v>402.5468441293476</v>
      </c>
      <c r="E198">
        <f>C198&lt;0.05</f>
        <v/>
      </c>
      <c r="F198">
        <f>A198=$B$5</f>
        <v/>
      </c>
      <c r="G198">
        <f>IF(E198,A198,10^9)</f>
        <v/>
      </c>
      <c r="H198">
        <f>IF(E198,D198,10^9)</f>
        <v/>
      </c>
    </row>
    <row r="199">
      <c r="A199" t="n">
        <v>191</v>
      </c>
      <c r="B199" t="n">
        <v>14.11472739637816</v>
      </c>
      <c r="C199" t="n">
        <v>0.004204565801721226</v>
      </c>
      <c r="D199" t="n">
        <v>402.7611298436333</v>
      </c>
      <c r="E199">
        <f>C199&lt;0.05</f>
        <v/>
      </c>
      <c r="F199">
        <f>A199=$B$5</f>
        <v/>
      </c>
      <c r="G199">
        <f>IF(E199,A199,10^9)</f>
        <v/>
      </c>
      <c r="H199">
        <f>IF(E199,D199,10^9)</f>
        <v/>
      </c>
    </row>
    <row r="200">
      <c r="A200" t="n">
        <v>192</v>
      </c>
      <c r="B200" t="n">
        <v>13.11472739637816</v>
      </c>
      <c r="C200" t="n">
        <v>0.00390668078533755</v>
      </c>
      <c r="D200" t="n">
        <v>403.3548181023285</v>
      </c>
      <c r="E200">
        <f>C200&lt;0.05</f>
        <v/>
      </c>
      <c r="F200">
        <f>A200=$B$5</f>
        <v/>
      </c>
      <c r="G200">
        <f>IF(E200,A200,10^9)</f>
        <v/>
      </c>
      <c r="H200">
        <f>IF(E200,D200,10^9)</f>
        <v/>
      </c>
    </row>
    <row r="201">
      <c r="A201" t="n">
        <v>193</v>
      </c>
      <c r="B201" t="n">
        <v>12.11472739637816</v>
      </c>
      <c r="C201" t="n">
        <v>0.003608795768953875</v>
      </c>
      <c r="D201" t="n">
        <v>403.9976752451856</v>
      </c>
      <c r="E201">
        <f>C201&lt;0.05</f>
        <v/>
      </c>
      <c r="F201">
        <f>A201=$B$5</f>
        <v/>
      </c>
      <c r="G201">
        <f>IF(E201,A201,10^9)</f>
        <v/>
      </c>
      <c r="H201">
        <f>IF(E201,D201,10^9)</f>
        <v/>
      </c>
    </row>
    <row r="202">
      <c r="A202" t="n">
        <v>194</v>
      </c>
      <c r="B202" t="n">
        <v>11.11472739637816</v>
      </c>
      <c r="C202" t="n">
        <v>0.003310910752570199</v>
      </c>
      <c r="D202" t="n">
        <v>404.6405323880427</v>
      </c>
      <c r="E202">
        <f>C202&lt;0.05</f>
        <v/>
      </c>
      <c r="F202">
        <f>A202=$B$5</f>
        <v/>
      </c>
      <c r="G202">
        <f>IF(E202,A202,10^9)</f>
        <v/>
      </c>
      <c r="H202">
        <f>IF(E202,D202,10^9)</f>
        <v/>
      </c>
    </row>
    <row r="203">
      <c r="A203" t="n">
        <v>195</v>
      </c>
      <c r="B203" t="n">
        <v>10.11472739637816</v>
      </c>
      <c r="C203" t="n">
        <v>0.003013025736186523</v>
      </c>
      <c r="D203" t="n">
        <v>405.2833895308999</v>
      </c>
      <c r="E203">
        <f>C203&lt;0.05</f>
        <v/>
      </c>
      <c r="F203">
        <f>A203=$B$5</f>
        <v/>
      </c>
      <c r="G203">
        <f>IF(E203,A203,10^9)</f>
        <v/>
      </c>
      <c r="H203">
        <f>IF(E203,D203,10^9)</f>
        <v/>
      </c>
    </row>
    <row r="204">
      <c r="A204" t="n">
        <v>196</v>
      </c>
      <c r="B204" t="n">
        <v>9.114727396378157</v>
      </c>
      <c r="C204" t="n">
        <v>0.002715140719802847</v>
      </c>
      <c r="D204" t="n">
        <v>405.926246673757</v>
      </c>
      <c r="E204">
        <f>C204&lt;0.05</f>
        <v/>
      </c>
      <c r="F204">
        <f>A204=$B$5</f>
        <v/>
      </c>
      <c r="G204">
        <f>IF(E204,A204,10^9)</f>
        <v/>
      </c>
      <c r="H204">
        <f>IF(E204,D204,10^9)</f>
        <v/>
      </c>
    </row>
    <row r="205">
      <c r="A205" t="n">
        <v>197</v>
      </c>
      <c r="B205" t="n">
        <v>8.114727396378157</v>
      </c>
      <c r="C205" t="n">
        <v>0.002417255703419171</v>
      </c>
      <c r="D205" t="n">
        <v>406.5691038166142</v>
      </c>
      <c r="E205">
        <f>C205&lt;0.05</f>
        <v/>
      </c>
      <c r="F205">
        <f>A205=$B$5</f>
        <v/>
      </c>
      <c r="G205">
        <f>IF(E205,A205,10^9)</f>
        <v/>
      </c>
      <c r="H205">
        <f>IF(E205,D205,10^9)</f>
        <v/>
      </c>
    </row>
    <row r="206">
      <c r="A206" t="n">
        <v>198</v>
      </c>
      <c r="B206" t="n">
        <v>7.114727396378157</v>
      </c>
      <c r="C206" t="n">
        <v>0.002119370687035495</v>
      </c>
      <c r="D206" t="n">
        <v>407.2119609594714</v>
      </c>
      <c r="E206">
        <f>C206&lt;0.05</f>
        <v/>
      </c>
      <c r="F206">
        <f>A206=$B$5</f>
        <v/>
      </c>
      <c r="G206">
        <f>IF(E206,A206,10^9)</f>
        <v/>
      </c>
      <c r="H206">
        <f>IF(E206,D206,10^9)</f>
        <v/>
      </c>
    </row>
    <row r="207">
      <c r="A207" t="n">
        <v>199</v>
      </c>
      <c r="B207" t="n">
        <v>6.114727396378157</v>
      </c>
      <c r="C207" t="n">
        <v>0.001821485670651819</v>
      </c>
      <c r="D207" t="n">
        <v>407.8548181023285</v>
      </c>
      <c r="E207">
        <f>C207&lt;0.05</f>
        <v/>
      </c>
      <c r="F207">
        <f>A207=$B$5</f>
        <v/>
      </c>
      <c r="G207">
        <f>IF(E207,A207,10^9)</f>
        <v/>
      </c>
      <c r="H207">
        <f>IF(E207,D207,10^9)</f>
        <v/>
      </c>
    </row>
    <row r="208">
      <c r="A208" t="n">
        <v>200</v>
      </c>
      <c r="B208" t="n">
        <v>5.114727396378157</v>
      </c>
      <c r="C208" t="n">
        <v>0.001523600654268143</v>
      </c>
      <c r="D208" t="n">
        <v>408.4976752451856</v>
      </c>
      <c r="E208">
        <f>C208&lt;0.05</f>
        <v/>
      </c>
      <c r="F208">
        <f>A208=$B$5</f>
        <v/>
      </c>
      <c r="G208">
        <f>IF(E208,A208,10^9)</f>
        <v/>
      </c>
      <c r="H208">
        <f>IF(E208,D208,10^9)</f>
        <v/>
      </c>
    </row>
    <row r="209">
      <c r="A209" t="n">
        <v>201</v>
      </c>
      <c r="B209" t="n">
        <v>4.114727396378157</v>
      </c>
      <c r="C209" t="n">
        <v>0.001225715637884468</v>
      </c>
      <c r="D209" t="n">
        <v>409.1405323880427</v>
      </c>
      <c r="E209">
        <f>C209&lt;0.05</f>
        <v/>
      </c>
      <c r="F209">
        <f>A209=$B$5</f>
        <v/>
      </c>
      <c r="G209">
        <f>IF(E209,A209,10^9)</f>
        <v/>
      </c>
      <c r="H209">
        <f>IF(E209,D209,10^9)</f>
        <v/>
      </c>
    </row>
    <row r="210">
      <c r="A210" t="n">
        <v>202</v>
      </c>
      <c r="B210" t="n">
        <v>3.114727396378157</v>
      </c>
      <c r="C210" t="n">
        <v>0.0009278306215007915</v>
      </c>
      <c r="D210" t="n">
        <v>409.7833895308999</v>
      </c>
      <c r="E210">
        <f>C210&lt;0.05</f>
        <v/>
      </c>
      <c r="F210">
        <f>A210=$B$5</f>
        <v/>
      </c>
      <c r="G210">
        <f>IF(E210,A210,10^9)</f>
        <v/>
      </c>
      <c r="H210">
        <f>IF(E210,D210,10^9)</f>
        <v/>
      </c>
    </row>
    <row r="211">
      <c r="A211" t="n">
        <v>203</v>
      </c>
      <c r="B211" t="n">
        <v>2.114727396378157</v>
      </c>
      <c r="C211" t="n">
        <v>0.0006299456051171156</v>
      </c>
      <c r="D211" t="n">
        <v>410.426246673757</v>
      </c>
      <c r="E211">
        <f>C211&lt;0.05</f>
        <v/>
      </c>
      <c r="F211">
        <f>A211=$B$5</f>
        <v/>
      </c>
      <c r="G211">
        <f>IF(E211,A211,10^9)</f>
        <v/>
      </c>
      <c r="H211">
        <f>IF(E211,D211,10^9)</f>
        <v/>
      </c>
    </row>
    <row r="212">
      <c r="A212" t="n">
        <v>204</v>
      </c>
      <c r="B212" t="n">
        <v>1.114727396378157</v>
      </c>
      <c r="C212" t="n">
        <v>0.0003320605887334397</v>
      </c>
      <c r="D212" t="n">
        <v>411.0691038166142</v>
      </c>
      <c r="E212">
        <f>C212&lt;0.05</f>
        <v/>
      </c>
      <c r="F212">
        <f>A212=$B$5</f>
        <v/>
      </c>
      <c r="G212">
        <f>IF(E212,A212,10^9)</f>
        <v/>
      </c>
      <c r="H212">
        <f>IF(E212,D212,10^9)</f>
        <v/>
      </c>
    </row>
    <row r="213">
      <c r="A213" t="n">
        <v>205</v>
      </c>
      <c r="B213" t="n">
        <v>0.1147273963781572</v>
      </c>
      <c r="C213" t="n">
        <v>3.417557234976384e-05</v>
      </c>
      <c r="D213" t="n">
        <v>411.7119609594714</v>
      </c>
      <c r="E213">
        <f>C213&lt;0.05</f>
        <v/>
      </c>
      <c r="F213">
        <f>A213=$B$5</f>
        <v/>
      </c>
      <c r="G213">
        <f>IF(E213,A213,10^9)</f>
        <v/>
      </c>
      <c r="H213">
        <f>IF(E213,D213,10^9)</f>
        <v/>
      </c>
    </row>
    <row r="214">
      <c r="A214" t="n">
        <v>206</v>
      </c>
      <c r="B214" t="n">
        <v>0</v>
      </c>
      <c r="C214" t="n">
        <v>0</v>
      </c>
      <c r="D214" t="n">
        <v>412.6709868893363</v>
      </c>
      <c r="E214">
        <f>C214&lt;0.05</f>
        <v/>
      </c>
      <c r="F214">
        <f>A214=$B$5</f>
        <v/>
      </c>
      <c r="G214">
        <f>IF(E214,A214,10^9)</f>
        <v/>
      </c>
      <c r="H214">
        <f>IF(E214,D214,10^9)</f>
        <v/>
      </c>
    </row>
    <row r="215">
      <c r="A215" t="n">
        <v>207</v>
      </c>
      <c r="B215" t="n">
        <v>0</v>
      </c>
      <c r="C215" t="n">
        <v>0</v>
      </c>
      <c r="D215" t="n">
        <v>413.6709868893363</v>
      </c>
      <c r="E215">
        <f>C215&lt;0.05</f>
        <v/>
      </c>
      <c r="F215">
        <f>A215=$B$5</f>
        <v/>
      </c>
      <c r="G215">
        <f>IF(E215,A215,10^9)</f>
        <v/>
      </c>
      <c r="H215">
        <f>IF(E215,D215,10^9)</f>
        <v/>
      </c>
    </row>
    <row r="216">
      <c r="A216" t="n">
        <v>208</v>
      </c>
      <c r="B216" t="n">
        <v>0</v>
      </c>
      <c r="C216" t="n">
        <v>0</v>
      </c>
      <c r="D216" t="n">
        <v>414.6709868893363</v>
      </c>
      <c r="E216">
        <f>C216&lt;0.05</f>
        <v/>
      </c>
      <c r="F216">
        <f>A216=$B$5</f>
        <v/>
      </c>
      <c r="G216">
        <f>IF(E216,A216,10^9)</f>
        <v/>
      </c>
      <c r="H216">
        <f>IF(E216,D216,10^9)</f>
        <v/>
      </c>
    </row>
    <row r="217">
      <c r="A217" t="n">
        <v>209</v>
      </c>
      <c r="B217" t="n">
        <v>0</v>
      </c>
      <c r="C217" t="n">
        <v>0</v>
      </c>
      <c r="D217" t="n">
        <v>415.6709868893363</v>
      </c>
      <c r="E217">
        <f>C217&lt;0.05</f>
        <v/>
      </c>
      <c r="F217">
        <f>A217=$B$5</f>
        <v/>
      </c>
      <c r="G217">
        <f>IF(E217,A217,10^9)</f>
        <v/>
      </c>
      <c r="H217">
        <f>IF(E217,D217,10^9)</f>
        <v/>
      </c>
    </row>
    <row r="218">
      <c r="A218" t="n">
        <v>210</v>
      </c>
      <c r="B218" t="n">
        <v>0</v>
      </c>
      <c r="C218" t="n">
        <v>0</v>
      </c>
      <c r="D218" t="n">
        <v>416.6709868893363</v>
      </c>
      <c r="E218">
        <f>C218&lt;0.05</f>
        <v/>
      </c>
      <c r="F218">
        <f>A218=$B$5</f>
        <v/>
      </c>
      <c r="G218">
        <f>IF(E218,A218,10^9)</f>
        <v/>
      </c>
      <c r="H218">
        <f>IF(E218,D218,10^9)</f>
        <v/>
      </c>
    </row>
    <row r="219">
      <c r="A219" t="n">
        <v>211</v>
      </c>
      <c r="B219" t="n">
        <v>0</v>
      </c>
      <c r="C219" t="n">
        <v>0</v>
      </c>
      <c r="D219" t="n">
        <v>417.6709868893363</v>
      </c>
      <c r="E219">
        <f>C219&lt;0.05</f>
        <v/>
      </c>
      <c r="F219">
        <f>A219=$B$5</f>
        <v/>
      </c>
      <c r="G219">
        <f>IF(E219,A219,10^9)</f>
        <v/>
      </c>
      <c r="H219">
        <f>IF(E219,D219,10^9)</f>
        <v/>
      </c>
    </row>
    <row r="220">
      <c r="A220" t="n">
        <v>212</v>
      </c>
      <c r="B220" t="n">
        <v>0</v>
      </c>
      <c r="C220" t="n">
        <v>0</v>
      </c>
      <c r="D220" t="n">
        <v>418.6709868893363</v>
      </c>
      <c r="E220">
        <f>C220&lt;0.05</f>
        <v/>
      </c>
      <c r="F220">
        <f>A220=$B$5</f>
        <v/>
      </c>
      <c r="G220">
        <f>IF(E220,A220,10^9)</f>
        <v/>
      </c>
      <c r="H220">
        <f>IF(E220,D220,10^9)</f>
        <v/>
      </c>
    </row>
    <row r="221">
      <c r="A221" t="n">
        <v>213</v>
      </c>
      <c r="B221" t="n">
        <v>0</v>
      </c>
      <c r="C221" t="n">
        <v>0</v>
      </c>
      <c r="D221" t="n">
        <v>419.6709868893363</v>
      </c>
      <c r="E221">
        <f>C221&lt;0.05</f>
        <v/>
      </c>
      <c r="F221">
        <f>A221=$B$5</f>
        <v/>
      </c>
      <c r="G221">
        <f>IF(E221,A221,10^9)</f>
        <v/>
      </c>
      <c r="H221">
        <f>IF(E221,D221,10^9)</f>
        <v/>
      </c>
    </row>
    <row r="222">
      <c r="A222" t="n">
        <v>214</v>
      </c>
      <c r="B222" t="n">
        <v>0</v>
      </c>
      <c r="C222" t="n">
        <v>0</v>
      </c>
      <c r="D222" t="n">
        <v>420.6709868893363</v>
      </c>
      <c r="E222">
        <f>C222&lt;0.05</f>
        <v/>
      </c>
      <c r="F222">
        <f>A222=$B$5</f>
        <v/>
      </c>
      <c r="G222">
        <f>IF(E222,A222,10^9)</f>
        <v/>
      </c>
      <c r="H222">
        <f>IF(E222,D222,10^9)</f>
        <v/>
      </c>
    </row>
    <row r="223">
      <c r="A223" t="n">
        <v>215</v>
      </c>
      <c r="B223" t="n">
        <v>0</v>
      </c>
      <c r="C223" t="n">
        <v>0</v>
      </c>
      <c r="D223" t="n">
        <v>421.6709868893363</v>
      </c>
      <c r="E223">
        <f>C223&lt;0.05</f>
        <v/>
      </c>
      <c r="F223">
        <f>A223=$B$5</f>
        <v/>
      </c>
      <c r="G223">
        <f>IF(E223,A223,10^9)</f>
        <v/>
      </c>
      <c r="H223">
        <f>IF(E223,D223,10^9)</f>
        <v/>
      </c>
    </row>
    <row r="224">
      <c r="A224" t="n">
        <v>216</v>
      </c>
      <c r="B224" t="n">
        <v>0</v>
      </c>
      <c r="C224" t="n">
        <v>0</v>
      </c>
      <c r="D224" t="n">
        <v>422.6709868893363</v>
      </c>
      <c r="E224">
        <f>C224&lt;0.05</f>
        <v/>
      </c>
      <c r="F224">
        <f>A224=$B$5</f>
        <v/>
      </c>
      <c r="G224">
        <f>IF(E224,A224,10^9)</f>
        <v/>
      </c>
      <c r="H224">
        <f>IF(E224,D224,10^9)</f>
        <v/>
      </c>
    </row>
    <row r="225">
      <c r="A225" t="n">
        <v>217</v>
      </c>
      <c r="B225" t="n">
        <v>0</v>
      </c>
      <c r="C225" t="n">
        <v>0</v>
      </c>
      <c r="D225" t="n">
        <v>423.6709868893363</v>
      </c>
      <c r="E225">
        <f>C225&lt;0.05</f>
        <v/>
      </c>
      <c r="F225">
        <f>A225=$B$5</f>
        <v/>
      </c>
      <c r="G225">
        <f>IF(E225,A225,10^9)</f>
        <v/>
      </c>
      <c r="H225">
        <f>IF(E225,D225,10^9)</f>
        <v/>
      </c>
    </row>
    <row r="226">
      <c r="A226" t="n">
        <v>218</v>
      </c>
      <c r="B226" t="n">
        <v>0</v>
      </c>
      <c r="C226" t="n">
        <v>0</v>
      </c>
      <c r="D226" t="n">
        <v>424.6709868893363</v>
      </c>
      <c r="E226">
        <f>C226&lt;0.05</f>
        <v/>
      </c>
      <c r="F226">
        <f>A226=$B$5</f>
        <v/>
      </c>
      <c r="G226">
        <f>IF(E226,A226,10^9)</f>
        <v/>
      </c>
      <c r="H226">
        <f>IF(E226,D226,10^9)</f>
        <v/>
      </c>
    </row>
    <row r="227">
      <c r="A227" t="n">
        <v>219</v>
      </c>
      <c r="B227" t="n">
        <v>0</v>
      </c>
      <c r="C227" t="n">
        <v>0</v>
      </c>
      <c r="D227" t="n">
        <v>425.6709868893363</v>
      </c>
      <c r="E227">
        <f>C227&lt;0.05</f>
        <v/>
      </c>
      <c r="F227">
        <f>A227=$B$5</f>
        <v/>
      </c>
      <c r="G227">
        <f>IF(E227,A227,10^9)</f>
        <v/>
      </c>
      <c r="H227">
        <f>IF(E227,D227,10^9)</f>
        <v/>
      </c>
    </row>
    <row r="228">
      <c r="A228" t="n">
        <v>220</v>
      </c>
      <c r="B228" t="n">
        <v>0</v>
      </c>
      <c r="C228" t="n">
        <v>0</v>
      </c>
      <c r="D228" t="n">
        <v>426.6709868893363</v>
      </c>
      <c r="E228">
        <f>C228&lt;0.05</f>
        <v/>
      </c>
      <c r="F228">
        <f>A228=$B$5</f>
        <v/>
      </c>
      <c r="G228">
        <f>IF(E228,A228,10^9)</f>
        <v/>
      </c>
      <c r="H228">
        <f>IF(E228,D228,10^9)</f>
        <v/>
      </c>
    </row>
    <row r="229">
      <c r="A229" t="n">
        <v>221</v>
      </c>
      <c r="B229" t="n">
        <v>0</v>
      </c>
      <c r="C229" t="n">
        <v>0</v>
      </c>
      <c r="D229" t="n">
        <v>427.6709868893363</v>
      </c>
      <c r="E229">
        <f>C229&lt;0.05</f>
        <v/>
      </c>
      <c r="F229">
        <f>A229=$B$5</f>
        <v/>
      </c>
      <c r="G229">
        <f>IF(E229,A229,10^9)</f>
        <v/>
      </c>
      <c r="H229">
        <f>IF(E229,D229,10^9)</f>
        <v/>
      </c>
    </row>
    <row r="230">
      <c r="A230" t="n">
        <v>222</v>
      </c>
      <c r="B230" t="n">
        <v>0</v>
      </c>
      <c r="C230" t="n">
        <v>0</v>
      </c>
      <c r="D230" t="n">
        <v>428.6709868893363</v>
      </c>
      <c r="E230">
        <f>C230&lt;0.05</f>
        <v/>
      </c>
      <c r="F230">
        <f>A230=$B$5</f>
        <v/>
      </c>
      <c r="G230">
        <f>IF(E230,A230,10^9)</f>
        <v/>
      </c>
      <c r="H230">
        <f>IF(E230,D230,10^9)</f>
        <v/>
      </c>
    </row>
    <row r="231">
      <c r="A231" t="n">
        <v>223</v>
      </c>
      <c r="B231" t="n">
        <v>0</v>
      </c>
      <c r="C231" t="n">
        <v>0</v>
      </c>
      <c r="D231" t="n">
        <v>429.6709868893363</v>
      </c>
      <c r="E231">
        <f>C231&lt;0.05</f>
        <v/>
      </c>
      <c r="F231">
        <f>A231=$B$5</f>
        <v/>
      </c>
      <c r="G231">
        <f>IF(E231,A231,10^9)</f>
        <v/>
      </c>
      <c r="H231">
        <f>IF(E231,D231,10^9)</f>
        <v/>
      </c>
    </row>
    <row r="232">
      <c r="A232" t="n">
        <v>224</v>
      </c>
      <c r="B232" t="n">
        <v>0</v>
      </c>
      <c r="C232" t="n">
        <v>0</v>
      </c>
      <c r="D232" t="n">
        <v>430.6709868893363</v>
      </c>
      <c r="E232">
        <f>C232&lt;0.05</f>
        <v/>
      </c>
      <c r="F232">
        <f>A232=$B$5</f>
        <v/>
      </c>
      <c r="G232">
        <f>IF(E232,A232,10^9)</f>
        <v/>
      </c>
      <c r="H232">
        <f>IF(E232,D232,10^9)</f>
        <v/>
      </c>
    </row>
    <row r="233">
      <c r="A233" t="n">
        <v>225</v>
      </c>
      <c r="B233" t="n">
        <v>0</v>
      </c>
      <c r="C233" t="n">
        <v>0</v>
      </c>
      <c r="D233" t="n">
        <v>431.6709868893363</v>
      </c>
      <c r="E233">
        <f>C233&lt;0.05</f>
        <v/>
      </c>
      <c r="F233">
        <f>A233=$B$5</f>
        <v/>
      </c>
      <c r="G233">
        <f>IF(E233,A233,10^9)</f>
        <v/>
      </c>
      <c r="H233">
        <f>IF(E233,D233,10^9)</f>
        <v/>
      </c>
    </row>
    <row r="234">
      <c r="A234" t="n">
        <v>226</v>
      </c>
      <c r="B234" t="n">
        <v>0</v>
      </c>
      <c r="C234" t="n">
        <v>0</v>
      </c>
      <c r="D234" t="n">
        <v>432.6709868893363</v>
      </c>
      <c r="E234">
        <f>C234&lt;0.05</f>
        <v/>
      </c>
      <c r="F234">
        <f>A234=$B$5</f>
        <v/>
      </c>
      <c r="G234">
        <f>IF(E234,A234,10^9)</f>
        <v/>
      </c>
      <c r="H234">
        <f>IF(E234,D234,10^9)</f>
        <v/>
      </c>
    </row>
    <row r="235">
      <c r="A235" t="n">
        <v>227</v>
      </c>
      <c r="B235" t="n">
        <v>0</v>
      </c>
      <c r="C235" t="n">
        <v>0</v>
      </c>
      <c r="D235" t="n">
        <v>433.6709868893363</v>
      </c>
      <c r="E235">
        <f>C235&lt;0.05</f>
        <v/>
      </c>
      <c r="F235">
        <f>A235=$B$5</f>
        <v/>
      </c>
      <c r="G235">
        <f>IF(E235,A235,10^9)</f>
        <v/>
      </c>
      <c r="H235">
        <f>IF(E235,D235,10^9)</f>
        <v/>
      </c>
    </row>
    <row r="236">
      <c r="A236" t="n">
        <v>228</v>
      </c>
      <c r="B236" t="n">
        <v>0</v>
      </c>
      <c r="C236" t="n">
        <v>0</v>
      </c>
      <c r="D236" t="n">
        <v>434.6709868893363</v>
      </c>
      <c r="E236">
        <f>C236&lt;0.05</f>
        <v/>
      </c>
      <c r="F236">
        <f>A236=$B$5</f>
        <v/>
      </c>
      <c r="G236">
        <f>IF(E236,A236,10^9)</f>
        <v/>
      </c>
      <c r="H236">
        <f>IF(E236,D236,10^9)</f>
        <v/>
      </c>
    </row>
    <row r="237">
      <c r="A237" t="n">
        <v>229</v>
      </c>
      <c r="B237" t="n">
        <v>0</v>
      </c>
      <c r="C237" t="n">
        <v>0</v>
      </c>
      <c r="D237" t="n">
        <v>435.6709868893363</v>
      </c>
      <c r="E237">
        <f>C237&lt;0.05</f>
        <v/>
      </c>
      <c r="F237">
        <f>A237=$B$5</f>
        <v/>
      </c>
      <c r="G237">
        <f>IF(E237,A237,10^9)</f>
        <v/>
      </c>
      <c r="H237">
        <f>IF(E237,D237,10^9)</f>
        <v/>
      </c>
    </row>
    <row r="238">
      <c r="A238" t="n">
        <v>230</v>
      </c>
      <c r="B238" t="n">
        <v>0</v>
      </c>
      <c r="C238" t="n">
        <v>0</v>
      </c>
      <c r="D238" t="n">
        <v>436.6709868893363</v>
      </c>
      <c r="E238">
        <f>C238&lt;0.05</f>
        <v/>
      </c>
      <c r="F238">
        <f>A238=$B$5</f>
        <v/>
      </c>
      <c r="G238">
        <f>IF(E238,A238,10^9)</f>
        <v/>
      </c>
      <c r="H238">
        <f>IF(E238,D238,10^9)</f>
        <v/>
      </c>
    </row>
    <row r="239">
      <c r="A239" t="n">
        <v>231</v>
      </c>
      <c r="B239" t="n">
        <v>0</v>
      </c>
      <c r="C239" t="n">
        <v>0</v>
      </c>
      <c r="D239" t="n">
        <v>437.6709868893363</v>
      </c>
      <c r="E239">
        <f>C239&lt;0.05</f>
        <v/>
      </c>
      <c r="F239">
        <f>A239=$B$5</f>
        <v/>
      </c>
      <c r="G239">
        <f>IF(E239,A239,10^9)</f>
        <v/>
      </c>
      <c r="H239">
        <f>IF(E239,D239,10^9)</f>
        <v/>
      </c>
    </row>
    <row r="240">
      <c r="A240" t="n">
        <v>232</v>
      </c>
      <c r="B240" t="n">
        <v>0</v>
      </c>
      <c r="C240" t="n">
        <v>0</v>
      </c>
      <c r="D240" t="n">
        <v>438.6709868893363</v>
      </c>
      <c r="E240">
        <f>C240&lt;0.05</f>
        <v/>
      </c>
      <c r="F240">
        <f>A240=$B$5</f>
        <v/>
      </c>
      <c r="G240">
        <f>IF(E240,A240,10^9)</f>
        <v/>
      </c>
      <c r="H240">
        <f>IF(E240,D240,10^9)</f>
        <v/>
      </c>
    </row>
    <row r="241">
      <c r="A241" t="n">
        <v>233</v>
      </c>
      <c r="B241" t="n">
        <v>0</v>
      </c>
      <c r="C241" t="n">
        <v>0</v>
      </c>
      <c r="D241" t="n">
        <v>439.6709868893363</v>
      </c>
      <c r="E241">
        <f>C241&lt;0.05</f>
        <v/>
      </c>
      <c r="F241">
        <f>A241=$B$5</f>
        <v/>
      </c>
      <c r="G241">
        <f>IF(E241,A241,10^9)</f>
        <v/>
      </c>
      <c r="H241">
        <f>IF(E241,D241,10^9)</f>
        <v/>
      </c>
    </row>
    <row r="242">
      <c r="A242" t="n">
        <v>234</v>
      </c>
      <c r="B242" t="n">
        <v>0</v>
      </c>
      <c r="C242" t="n">
        <v>0</v>
      </c>
      <c r="D242" t="n">
        <v>440.6709868893363</v>
      </c>
      <c r="E242">
        <f>C242&lt;0.05</f>
        <v/>
      </c>
      <c r="F242">
        <f>A242=$B$5</f>
        <v/>
      </c>
      <c r="G242">
        <f>IF(E242,A242,10^9)</f>
        <v/>
      </c>
      <c r="H242">
        <f>IF(E242,D242,10^9)</f>
        <v/>
      </c>
    </row>
    <row r="243">
      <c r="A243" t="n">
        <v>235</v>
      </c>
      <c r="B243" t="n">
        <v>0</v>
      </c>
      <c r="C243" t="n">
        <v>0</v>
      </c>
      <c r="D243" t="n">
        <v>441.6709868893363</v>
      </c>
      <c r="E243">
        <f>C243&lt;0.05</f>
        <v/>
      </c>
      <c r="F243">
        <f>A243=$B$5</f>
        <v/>
      </c>
      <c r="G243">
        <f>IF(E243,A243,10^9)</f>
        <v/>
      </c>
      <c r="H243">
        <f>IF(E243,D243,10^9)</f>
        <v/>
      </c>
    </row>
    <row r="244">
      <c r="A244" t="n">
        <v>236</v>
      </c>
      <c r="B244" t="n">
        <v>0</v>
      </c>
      <c r="C244" t="n">
        <v>0</v>
      </c>
      <c r="D244" t="n">
        <v>442.6709868893363</v>
      </c>
      <c r="E244">
        <f>C244&lt;0.05</f>
        <v/>
      </c>
      <c r="F244">
        <f>A244=$B$5</f>
        <v/>
      </c>
      <c r="G244">
        <f>IF(E244,A244,10^9)</f>
        <v/>
      </c>
      <c r="H244">
        <f>IF(E244,D244,10^9)</f>
        <v/>
      </c>
    </row>
    <row r="245">
      <c r="A245" t="n">
        <v>237</v>
      </c>
      <c r="B245" t="n">
        <v>0</v>
      </c>
      <c r="C245" t="n">
        <v>0</v>
      </c>
      <c r="D245" t="n">
        <v>443.6709868893363</v>
      </c>
      <c r="E245">
        <f>C245&lt;0.05</f>
        <v/>
      </c>
      <c r="F245">
        <f>A245=$B$5</f>
        <v/>
      </c>
      <c r="G245">
        <f>IF(E245,A245,10^9)</f>
        <v/>
      </c>
      <c r="H245">
        <f>IF(E245,D245,10^9)</f>
        <v/>
      </c>
    </row>
    <row r="246">
      <c r="A246" t="n">
        <v>238</v>
      </c>
      <c r="B246" t="n">
        <v>0</v>
      </c>
      <c r="C246" t="n">
        <v>0</v>
      </c>
      <c r="D246" t="n">
        <v>444.6709868893363</v>
      </c>
      <c r="E246">
        <f>C246&lt;0.05</f>
        <v/>
      </c>
      <c r="F246">
        <f>A246=$B$5</f>
        <v/>
      </c>
      <c r="G246">
        <f>IF(E246,A246,10^9)</f>
        <v/>
      </c>
      <c r="H246">
        <f>IF(E246,D246,10^9)</f>
        <v/>
      </c>
    </row>
    <row r="247">
      <c r="A247" t="n">
        <v>239</v>
      </c>
      <c r="B247" t="n">
        <v>0</v>
      </c>
      <c r="C247" t="n">
        <v>0</v>
      </c>
      <c r="D247" t="n">
        <v>445.6709868893363</v>
      </c>
      <c r="E247">
        <f>C247&lt;0.05</f>
        <v/>
      </c>
      <c r="F247">
        <f>A247=$B$5</f>
        <v/>
      </c>
      <c r="G247">
        <f>IF(E247,A247,10^9)</f>
        <v/>
      </c>
      <c r="H247">
        <f>IF(E247,D247,10^9)</f>
        <v/>
      </c>
    </row>
    <row r="248">
      <c r="A248" t="n">
        <v>240</v>
      </c>
      <c r="B248" t="n">
        <v>0</v>
      </c>
      <c r="C248" t="n">
        <v>0</v>
      </c>
      <c r="D248" t="n">
        <v>446.6709868893363</v>
      </c>
      <c r="E248">
        <f>C248&lt;0.05</f>
        <v/>
      </c>
      <c r="F248">
        <f>A248=$B$5</f>
        <v/>
      </c>
      <c r="G248">
        <f>IF(E248,A248,10^9)</f>
        <v/>
      </c>
      <c r="H248">
        <f>IF(E248,D248,10^9)</f>
        <v/>
      </c>
    </row>
    <row r="249">
      <c r="A249" t="n">
        <v>241</v>
      </c>
      <c r="B249" t="n">
        <v>0</v>
      </c>
      <c r="C249" t="n">
        <v>0</v>
      </c>
      <c r="D249" t="n">
        <v>447.6709868893363</v>
      </c>
      <c r="E249">
        <f>C249&lt;0.05</f>
        <v/>
      </c>
      <c r="F249">
        <f>A249=$B$5</f>
        <v/>
      </c>
      <c r="G249">
        <f>IF(E249,A249,10^9)</f>
        <v/>
      </c>
      <c r="H249">
        <f>IF(E249,D249,10^9)</f>
        <v/>
      </c>
    </row>
    <row r="250">
      <c r="A250" t="n">
        <v>242</v>
      </c>
      <c r="B250" t="n">
        <v>0</v>
      </c>
      <c r="C250" t="n">
        <v>0</v>
      </c>
      <c r="D250" t="n">
        <v>448.6709868893363</v>
      </c>
      <c r="E250">
        <f>C250&lt;0.05</f>
        <v/>
      </c>
      <c r="F250">
        <f>A250=$B$5</f>
        <v/>
      </c>
      <c r="G250">
        <f>IF(E250,A250,10^9)</f>
        <v/>
      </c>
      <c r="H250">
        <f>IF(E250,D250,10^9)</f>
        <v/>
      </c>
    </row>
    <row r="251">
      <c r="A251" t="n">
        <v>243</v>
      </c>
      <c r="B251" t="n">
        <v>0</v>
      </c>
      <c r="C251" t="n">
        <v>0</v>
      </c>
      <c r="D251" t="n">
        <v>449.6709868893363</v>
      </c>
      <c r="E251">
        <f>C251&lt;0.05</f>
        <v/>
      </c>
      <c r="F251">
        <f>A251=$B$5</f>
        <v/>
      </c>
      <c r="G251">
        <f>IF(E251,A251,10^9)</f>
        <v/>
      </c>
      <c r="H251">
        <f>IF(E251,D251,10^9)</f>
        <v/>
      </c>
    </row>
    <row r="252">
      <c r="A252" t="n">
        <v>244</v>
      </c>
      <c r="B252" t="n">
        <v>0</v>
      </c>
      <c r="C252" t="n">
        <v>0</v>
      </c>
      <c r="D252" t="n">
        <v>450.6709868893363</v>
      </c>
      <c r="E252">
        <f>C252&lt;0.05</f>
        <v/>
      </c>
      <c r="F252">
        <f>A252=$B$5</f>
        <v/>
      </c>
      <c r="G252">
        <f>IF(E252,A252,10^9)</f>
        <v/>
      </c>
      <c r="H252">
        <f>IF(E252,D252,10^9)</f>
        <v/>
      </c>
    </row>
    <row r="253">
      <c r="A253" t="n">
        <v>245</v>
      </c>
      <c r="B253" t="n">
        <v>0</v>
      </c>
      <c r="C253" t="n">
        <v>0</v>
      </c>
      <c r="D253" t="n">
        <v>451.6709868893363</v>
      </c>
      <c r="E253">
        <f>C253&lt;0.05</f>
        <v/>
      </c>
      <c r="F253">
        <f>A253=$B$5</f>
        <v/>
      </c>
      <c r="G253">
        <f>IF(E253,A253,10^9)</f>
        <v/>
      </c>
      <c r="H253">
        <f>IF(E253,D253,10^9)</f>
        <v/>
      </c>
    </row>
    <row r="254">
      <c r="A254" t="n">
        <v>246</v>
      </c>
      <c r="B254" t="n">
        <v>0</v>
      </c>
      <c r="C254" t="n">
        <v>0</v>
      </c>
      <c r="D254" t="n">
        <v>452.6709868893363</v>
      </c>
      <c r="E254">
        <f>C254&lt;0.05</f>
        <v/>
      </c>
      <c r="F254">
        <f>A254=$B$5</f>
        <v/>
      </c>
      <c r="G254">
        <f>IF(E254,A254,10^9)</f>
        <v/>
      </c>
      <c r="H254">
        <f>IF(E254,D254,10^9)</f>
        <v/>
      </c>
    </row>
    <row r="255">
      <c r="A255" t="n">
        <v>247</v>
      </c>
      <c r="B255" t="n">
        <v>0</v>
      </c>
      <c r="C255" t="n">
        <v>0</v>
      </c>
      <c r="D255" t="n">
        <v>453.6709868893363</v>
      </c>
      <c r="E255">
        <f>C255&lt;0.05</f>
        <v/>
      </c>
      <c r="F255">
        <f>A255=$B$5</f>
        <v/>
      </c>
      <c r="G255">
        <f>IF(E255,A255,10^9)</f>
        <v/>
      </c>
      <c r="H255">
        <f>IF(E255,D255,10^9)</f>
        <v/>
      </c>
    </row>
    <row r="256">
      <c r="A256" t="n">
        <v>248</v>
      </c>
      <c r="B256" t="n">
        <v>0</v>
      </c>
      <c r="C256" t="n">
        <v>0</v>
      </c>
      <c r="D256" t="n">
        <v>454.6709868893363</v>
      </c>
      <c r="E256">
        <f>C256&lt;0.05</f>
        <v/>
      </c>
      <c r="F256">
        <f>A256=$B$5</f>
        <v/>
      </c>
      <c r="G256">
        <f>IF(E256,A256,10^9)</f>
        <v/>
      </c>
      <c r="H256">
        <f>IF(E256,D256,10^9)</f>
        <v/>
      </c>
    </row>
    <row r="257">
      <c r="A257" t="n">
        <v>249</v>
      </c>
      <c r="B257" t="n">
        <v>0</v>
      </c>
      <c r="C257" t="n">
        <v>0</v>
      </c>
      <c r="D257" t="n">
        <v>455.6709868893363</v>
      </c>
      <c r="E257">
        <f>C257&lt;0.05</f>
        <v/>
      </c>
      <c r="F257">
        <f>A257=$B$5</f>
        <v/>
      </c>
      <c r="G257">
        <f>IF(E257,A257,10^9)</f>
        <v/>
      </c>
      <c r="H257">
        <f>IF(E257,D257,10^9)</f>
        <v/>
      </c>
    </row>
    <row r="258">
      <c r="A258" t="n">
        <v>250</v>
      </c>
      <c r="B258" t="n">
        <v>0</v>
      </c>
      <c r="C258" t="n">
        <v>0</v>
      </c>
      <c r="D258" t="n">
        <v>456.6709868893363</v>
      </c>
      <c r="E258">
        <f>C258&lt;0.05</f>
        <v/>
      </c>
      <c r="F258">
        <f>A258=$B$5</f>
        <v/>
      </c>
      <c r="G258">
        <f>IF(E258,A258,10^9)</f>
        <v/>
      </c>
      <c r="H258">
        <f>IF(E258,D258,10^9)</f>
        <v/>
      </c>
    </row>
    <row r="259">
      <c r="A259" t="n">
        <v>251</v>
      </c>
      <c r="B259" t="n">
        <v>0</v>
      </c>
      <c r="C259" t="n">
        <v>0</v>
      </c>
      <c r="D259" t="n">
        <v>457.6709868893363</v>
      </c>
      <c r="E259">
        <f>C259&lt;0.05</f>
        <v/>
      </c>
      <c r="F259">
        <f>A259=$B$5</f>
        <v/>
      </c>
      <c r="G259">
        <f>IF(E259,A259,10^9)</f>
        <v/>
      </c>
      <c r="H259">
        <f>IF(E259,D259,10^9)</f>
        <v/>
      </c>
    </row>
    <row r="260">
      <c r="A260" t="n">
        <v>252</v>
      </c>
      <c r="B260" t="n">
        <v>0</v>
      </c>
      <c r="C260" t="n">
        <v>0</v>
      </c>
      <c r="D260" t="n">
        <v>458.6709868893363</v>
      </c>
      <c r="E260">
        <f>C260&lt;0.05</f>
        <v/>
      </c>
      <c r="F260">
        <f>A260=$B$5</f>
        <v/>
      </c>
      <c r="G260">
        <f>IF(E260,A260,10^9)</f>
        <v/>
      </c>
      <c r="H260">
        <f>IF(E260,D260,10^9)</f>
        <v/>
      </c>
    </row>
    <row r="261">
      <c r="A261" t="n">
        <v>253</v>
      </c>
      <c r="B261" t="n">
        <v>0</v>
      </c>
      <c r="C261" t="n">
        <v>0</v>
      </c>
      <c r="D261" t="n">
        <v>459.6709868893363</v>
      </c>
      <c r="E261">
        <f>C261&lt;0.05</f>
        <v/>
      </c>
      <c r="F261">
        <f>A261=$B$5</f>
        <v/>
      </c>
      <c r="G261">
        <f>IF(E261,A261,10^9)</f>
        <v/>
      </c>
      <c r="H261">
        <f>IF(E261,D261,10^9)</f>
        <v/>
      </c>
    </row>
    <row r="262">
      <c r="A262" t="n">
        <v>254</v>
      </c>
      <c r="B262" t="n">
        <v>0</v>
      </c>
      <c r="C262" t="n">
        <v>0</v>
      </c>
      <c r="D262" t="n">
        <v>460.6709868893363</v>
      </c>
      <c r="E262">
        <f>C262&lt;0.05</f>
        <v/>
      </c>
      <c r="F262">
        <f>A262=$B$5</f>
        <v/>
      </c>
      <c r="G262">
        <f>IF(E262,A262,10^9)</f>
        <v/>
      </c>
      <c r="H262">
        <f>IF(E262,D262,10^9)</f>
        <v/>
      </c>
    </row>
    <row r="263">
      <c r="A263" t="n">
        <v>255</v>
      </c>
      <c r="B263" t="n">
        <v>0</v>
      </c>
      <c r="C263" t="n">
        <v>0</v>
      </c>
      <c r="D263" t="n">
        <v>461.6709868893363</v>
      </c>
      <c r="E263">
        <f>C263&lt;0.05</f>
        <v/>
      </c>
      <c r="F263">
        <f>A263=$B$5</f>
        <v/>
      </c>
      <c r="G263">
        <f>IF(E263,A263,10^9)</f>
        <v/>
      </c>
      <c r="H263">
        <f>IF(E263,D263,10^9)</f>
        <v/>
      </c>
    </row>
    <row r="264">
      <c r="A264" t="n">
        <v>256</v>
      </c>
      <c r="B264" t="n">
        <v>0</v>
      </c>
      <c r="C264" t="n">
        <v>0</v>
      </c>
      <c r="D264" t="n">
        <v>462.6709868893363</v>
      </c>
      <c r="E264">
        <f>C264&lt;0.05</f>
        <v/>
      </c>
      <c r="F264">
        <f>A264=$B$5</f>
        <v/>
      </c>
      <c r="G264">
        <f>IF(E264,A264,10^9)</f>
        <v/>
      </c>
      <c r="H264">
        <f>IF(E264,D264,10^9)</f>
        <v/>
      </c>
    </row>
    <row r="265">
      <c r="A265" t="n">
        <v>257</v>
      </c>
      <c r="B265" t="n">
        <v>0</v>
      </c>
      <c r="C265" t="n">
        <v>0</v>
      </c>
      <c r="D265" t="n">
        <v>463.6709868893363</v>
      </c>
      <c r="E265">
        <f>C265&lt;0.05</f>
        <v/>
      </c>
      <c r="F265">
        <f>A265=$B$5</f>
        <v/>
      </c>
      <c r="G265">
        <f>IF(E265,A265,10^9)</f>
        <v/>
      </c>
      <c r="H265">
        <f>IF(E265,D265,10^9)</f>
        <v/>
      </c>
    </row>
    <row r="266">
      <c r="A266" t="n">
        <v>258</v>
      </c>
      <c r="B266" t="n">
        <v>0</v>
      </c>
      <c r="C266" t="n">
        <v>0</v>
      </c>
      <c r="D266" t="n">
        <v>464.6709868893363</v>
      </c>
      <c r="E266">
        <f>C266&lt;0.05</f>
        <v/>
      </c>
      <c r="F266">
        <f>A266=$B$5</f>
        <v/>
      </c>
      <c r="G266">
        <f>IF(E266,A266,10^9)</f>
        <v/>
      </c>
      <c r="H266">
        <f>IF(E266,D266,10^9)</f>
        <v/>
      </c>
    </row>
    <row r="267">
      <c r="A267" t="n">
        <v>259</v>
      </c>
      <c r="B267" t="n">
        <v>0</v>
      </c>
      <c r="C267" t="n">
        <v>0</v>
      </c>
      <c r="D267" t="n">
        <v>465.6709868893363</v>
      </c>
      <c r="E267">
        <f>C267&lt;0.05</f>
        <v/>
      </c>
      <c r="F267">
        <f>A267=$B$5</f>
        <v/>
      </c>
      <c r="G267">
        <f>IF(E267,A267,10^9)</f>
        <v/>
      </c>
      <c r="H267">
        <f>IF(E267,D267,10^9)</f>
        <v/>
      </c>
    </row>
    <row r="268">
      <c r="A268" t="n">
        <v>260</v>
      </c>
      <c r="B268" t="n">
        <v>0</v>
      </c>
      <c r="C268" t="n">
        <v>0</v>
      </c>
      <c r="D268" t="n">
        <v>466.6709868893363</v>
      </c>
      <c r="E268">
        <f>C268&lt;0.05</f>
        <v/>
      </c>
      <c r="F268">
        <f>A268=$B$5</f>
        <v/>
      </c>
      <c r="G268">
        <f>IF(E268,A268,10^9)</f>
        <v/>
      </c>
      <c r="H268">
        <f>IF(E268,D268,10^9)</f>
        <v/>
      </c>
    </row>
    <row r="269">
      <c r="A269" t="n">
        <v>261</v>
      </c>
      <c r="B269" t="n">
        <v>0</v>
      </c>
      <c r="C269" t="n">
        <v>0</v>
      </c>
      <c r="D269" t="n">
        <v>467.6709868893363</v>
      </c>
      <c r="E269">
        <f>C269&lt;0.05</f>
        <v/>
      </c>
      <c r="F269">
        <f>A269=$B$5</f>
        <v/>
      </c>
      <c r="G269">
        <f>IF(E269,A269,10^9)</f>
        <v/>
      </c>
      <c r="H269">
        <f>IF(E269,D269,10^9)</f>
        <v/>
      </c>
    </row>
    <row r="270">
      <c r="A270" t="n">
        <v>262</v>
      </c>
      <c r="B270" t="n">
        <v>0</v>
      </c>
      <c r="C270" t="n">
        <v>0</v>
      </c>
      <c r="D270" t="n">
        <v>468.6709868893363</v>
      </c>
      <c r="E270">
        <f>C270&lt;0.05</f>
        <v/>
      </c>
      <c r="F270">
        <f>A270=$B$5</f>
        <v/>
      </c>
      <c r="G270">
        <f>IF(E270,A270,10^9)</f>
        <v/>
      </c>
      <c r="H270">
        <f>IF(E270,D270,10^9)</f>
        <v/>
      </c>
    </row>
    <row r="271">
      <c r="A271" t="n">
        <v>263</v>
      </c>
      <c r="B271" t="n">
        <v>0</v>
      </c>
      <c r="C271" t="n">
        <v>0</v>
      </c>
      <c r="D271" t="n">
        <v>469.6709868893363</v>
      </c>
      <c r="E271">
        <f>C271&lt;0.05</f>
        <v/>
      </c>
      <c r="F271">
        <f>A271=$B$5</f>
        <v/>
      </c>
      <c r="G271">
        <f>IF(E271,A271,10^9)</f>
        <v/>
      </c>
      <c r="H271">
        <f>IF(E271,D271,10^9)</f>
        <v/>
      </c>
    </row>
    <row r="272">
      <c r="A272" t="n">
        <v>264</v>
      </c>
      <c r="B272" t="n">
        <v>0</v>
      </c>
      <c r="C272" t="n">
        <v>0</v>
      </c>
      <c r="D272" t="n">
        <v>470.6709868893363</v>
      </c>
      <c r="E272">
        <f>C272&lt;0.05</f>
        <v/>
      </c>
      <c r="F272">
        <f>A272=$B$5</f>
        <v/>
      </c>
      <c r="G272">
        <f>IF(E272,A272,10^9)</f>
        <v/>
      </c>
      <c r="H272">
        <f>IF(E272,D272,10^9)</f>
        <v/>
      </c>
    </row>
    <row r="273">
      <c r="A273" t="n">
        <v>265</v>
      </c>
      <c r="B273" t="n">
        <v>0</v>
      </c>
      <c r="C273" t="n">
        <v>0</v>
      </c>
      <c r="D273" t="n">
        <v>471.6709868893363</v>
      </c>
      <c r="E273">
        <f>C273&lt;0.05</f>
        <v/>
      </c>
      <c r="F273">
        <f>A273=$B$5</f>
        <v/>
      </c>
      <c r="G273">
        <f>IF(E273,A273,10^9)</f>
        <v/>
      </c>
      <c r="H273">
        <f>IF(E273,D273,10^9)</f>
        <v/>
      </c>
    </row>
    <row r="274">
      <c r="A274" t="n">
        <v>266</v>
      </c>
      <c r="B274" t="n">
        <v>0</v>
      </c>
      <c r="C274" t="n">
        <v>0</v>
      </c>
      <c r="D274" t="n">
        <v>472.6709868893363</v>
      </c>
      <c r="E274">
        <f>C274&lt;0.05</f>
        <v/>
      </c>
      <c r="F274">
        <f>A274=$B$5</f>
        <v/>
      </c>
      <c r="G274">
        <f>IF(E274,A274,10^9)</f>
        <v/>
      </c>
      <c r="H274">
        <f>IF(E274,D274,10^9)</f>
        <v/>
      </c>
    </row>
    <row r="275">
      <c r="A275" t="n">
        <v>267</v>
      </c>
      <c r="B275" t="n">
        <v>0</v>
      </c>
      <c r="C275" t="n">
        <v>0</v>
      </c>
      <c r="D275" t="n">
        <v>473.6709868893363</v>
      </c>
      <c r="E275">
        <f>C275&lt;0.05</f>
        <v/>
      </c>
      <c r="F275">
        <f>A275=$B$5</f>
        <v/>
      </c>
      <c r="G275">
        <f>IF(E275,A275,10^9)</f>
        <v/>
      </c>
      <c r="H275">
        <f>IF(E275,D275,10^9)</f>
        <v/>
      </c>
    </row>
    <row r="276">
      <c r="A276" t="n">
        <v>268</v>
      </c>
      <c r="B276" t="n">
        <v>0</v>
      </c>
      <c r="C276" t="n">
        <v>0</v>
      </c>
      <c r="D276" t="n">
        <v>474.6709868893363</v>
      </c>
      <c r="E276">
        <f>C276&lt;0.05</f>
        <v/>
      </c>
      <c r="F276">
        <f>A276=$B$5</f>
        <v/>
      </c>
      <c r="G276">
        <f>IF(E276,A276,10^9)</f>
        <v/>
      </c>
      <c r="H276">
        <f>IF(E276,D276,10^9)</f>
        <v/>
      </c>
    </row>
    <row r="277">
      <c r="A277" t="n">
        <v>269</v>
      </c>
      <c r="B277" t="n">
        <v>0</v>
      </c>
      <c r="C277" t="n">
        <v>0</v>
      </c>
      <c r="D277" t="n">
        <v>475.6709868893363</v>
      </c>
      <c r="E277">
        <f>C277&lt;0.05</f>
        <v/>
      </c>
      <c r="F277">
        <f>A277=$B$5</f>
        <v/>
      </c>
      <c r="G277">
        <f>IF(E277,A277,10^9)</f>
        <v/>
      </c>
      <c r="H277">
        <f>IF(E277,D277,10^9)</f>
        <v/>
      </c>
    </row>
    <row r="278">
      <c r="A278" t="n">
        <v>270</v>
      </c>
      <c r="B278" t="n">
        <v>0</v>
      </c>
      <c r="C278" t="n">
        <v>0</v>
      </c>
      <c r="D278" t="n">
        <v>476.6709868893363</v>
      </c>
      <c r="E278">
        <f>C278&lt;0.05</f>
        <v/>
      </c>
      <c r="F278">
        <f>A278=$B$5</f>
        <v/>
      </c>
      <c r="G278">
        <f>IF(E278,A278,10^9)</f>
        <v/>
      </c>
      <c r="H278">
        <f>IF(E278,D278,10^9)</f>
        <v/>
      </c>
    </row>
    <row r="279">
      <c r="A279" t="n">
        <v>271</v>
      </c>
      <c r="B279" t="n">
        <v>0</v>
      </c>
      <c r="C279" t="n">
        <v>0</v>
      </c>
      <c r="D279" t="n">
        <v>477.6709868893363</v>
      </c>
      <c r="E279">
        <f>C279&lt;0.05</f>
        <v/>
      </c>
      <c r="F279">
        <f>A279=$B$5</f>
        <v/>
      </c>
      <c r="G279">
        <f>IF(E279,A279,10^9)</f>
        <v/>
      </c>
      <c r="H279">
        <f>IF(E279,D279,10^9)</f>
        <v/>
      </c>
    </row>
    <row r="280">
      <c r="A280" t="n">
        <v>272</v>
      </c>
      <c r="B280" t="n">
        <v>0</v>
      </c>
      <c r="C280" t="n">
        <v>0</v>
      </c>
      <c r="D280" t="n">
        <v>478.6709868893363</v>
      </c>
      <c r="E280">
        <f>C280&lt;0.05</f>
        <v/>
      </c>
      <c r="F280">
        <f>A280=$B$5</f>
        <v/>
      </c>
      <c r="G280">
        <f>IF(E280,A280,10^9)</f>
        <v/>
      </c>
      <c r="H280">
        <f>IF(E280,D280,10^9)</f>
        <v/>
      </c>
    </row>
    <row r="281">
      <c r="A281" t="n">
        <v>273</v>
      </c>
      <c r="B281" t="n">
        <v>0</v>
      </c>
      <c r="C281" t="n">
        <v>0</v>
      </c>
      <c r="D281" t="n">
        <v>479.6709868893363</v>
      </c>
      <c r="E281">
        <f>C281&lt;0.05</f>
        <v/>
      </c>
      <c r="F281">
        <f>A281=$B$5</f>
        <v/>
      </c>
      <c r="G281">
        <f>IF(E281,A281,10^9)</f>
        <v/>
      </c>
      <c r="H281">
        <f>IF(E281,D281,10^9)</f>
        <v/>
      </c>
    </row>
    <row r="282">
      <c r="A282" t="n">
        <v>274</v>
      </c>
      <c r="B282" t="n">
        <v>0</v>
      </c>
      <c r="C282" t="n">
        <v>0</v>
      </c>
      <c r="D282" t="n">
        <v>480.6709868893363</v>
      </c>
      <c r="E282">
        <f>C282&lt;0.05</f>
        <v/>
      </c>
      <c r="F282">
        <f>A282=$B$5</f>
        <v/>
      </c>
      <c r="G282">
        <f>IF(E282,A282,10^9)</f>
        <v/>
      </c>
      <c r="H282">
        <f>IF(E282,D282,10^9)</f>
        <v/>
      </c>
    </row>
    <row r="283">
      <c r="A283" t="n">
        <v>275</v>
      </c>
      <c r="B283" t="n">
        <v>0</v>
      </c>
      <c r="C283" t="n">
        <v>0</v>
      </c>
      <c r="D283" t="n">
        <v>481.6709868893363</v>
      </c>
      <c r="E283">
        <f>C283&lt;0.05</f>
        <v/>
      </c>
      <c r="F283">
        <f>A283=$B$5</f>
        <v/>
      </c>
      <c r="G283">
        <f>IF(E283,A283,10^9)</f>
        <v/>
      </c>
      <c r="H283">
        <f>IF(E283,D283,10^9)</f>
        <v/>
      </c>
    </row>
    <row r="284">
      <c r="A284" t="n">
        <v>276</v>
      </c>
      <c r="B284" t="n">
        <v>0</v>
      </c>
      <c r="C284" t="n">
        <v>0</v>
      </c>
      <c r="D284" t="n">
        <v>482.6709868893363</v>
      </c>
      <c r="E284">
        <f>C284&lt;0.05</f>
        <v/>
      </c>
      <c r="F284">
        <f>A284=$B$5</f>
        <v/>
      </c>
      <c r="G284">
        <f>IF(E284,A284,10^9)</f>
        <v/>
      </c>
      <c r="H284">
        <f>IF(E284,D284,10^9)</f>
        <v/>
      </c>
    </row>
    <row r="285">
      <c r="A285" t="n">
        <v>277</v>
      </c>
      <c r="B285" t="n">
        <v>0</v>
      </c>
      <c r="C285" t="n">
        <v>0</v>
      </c>
      <c r="D285" t="n">
        <v>483.6709868893363</v>
      </c>
      <c r="E285">
        <f>C285&lt;0.05</f>
        <v/>
      </c>
      <c r="F285">
        <f>A285=$B$5</f>
        <v/>
      </c>
      <c r="G285">
        <f>IF(E285,A285,10^9)</f>
        <v/>
      </c>
      <c r="H285">
        <f>IF(E285,D285,10^9)</f>
        <v/>
      </c>
    </row>
    <row r="286">
      <c r="A286" t="n">
        <v>278</v>
      </c>
      <c r="B286" t="n">
        <v>0</v>
      </c>
      <c r="C286" t="n">
        <v>0</v>
      </c>
      <c r="D286" t="n">
        <v>484.6709868893363</v>
      </c>
      <c r="E286">
        <f>C286&lt;0.05</f>
        <v/>
      </c>
      <c r="F286">
        <f>A286=$B$5</f>
        <v/>
      </c>
      <c r="G286">
        <f>IF(E286,A286,10^9)</f>
        <v/>
      </c>
      <c r="H286">
        <f>IF(E286,D286,10^9)</f>
        <v/>
      </c>
    </row>
    <row r="287">
      <c r="A287" t="n">
        <v>279</v>
      </c>
      <c r="B287" t="n">
        <v>0</v>
      </c>
      <c r="C287" t="n">
        <v>0</v>
      </c>
      <c r="D287" t="n">
        <v>485.6709868893363</v>
      </c>
      <c r="E287">
        <f>C287&lt;0.05</f>
        <v/>
      </c>
      <c r="F287">
        <f>A287=$B$5</f>
        <v/>
      </c>
      <c r="G287">
        <f>IF(E287,A287,10^9)</f>
        <v/>
      </c>
      <c r="H287">
        <f>IF(E287,D287,10^9)</f>
        <v/>
      </c>
    </row>
    <row r="288">
      <c r="A288" t="n">
        <v>280</v>
      </c>
      <c r="B288" t="n">
        <v>0</v>
      </c>
      <c r="C288" t="n">
        <v>0</v>
      </c>
      <c r="D288" t="n">
        <v>486.6709868893363</v>
      </c>
      <c r="E288">
        <f>C288&lt;0.05</f>
        <v/>
      </c>
      <c r="F288">
        <f>A288=$B$5</f>
        <v/>
      </c>
      <c r="G288">
        <f>IF(E288,A288,10^9)</f>
        <v/>
      </c>
      <c r="H288">
        <f>IF(E288,D288,10^9)</f>
        <v/>
      </c>
    </row>
    <row r="289">
      <c r="A289" t="n">
        <v>281</v>
      </c>
      <c r="B289" t="n">
        <v>0</v>
      </c>
      <c r="C289" t="n">
        <v>0</v>
      </c>
      <c r="D289" t="n">
        <v>487.6709868893363</v>
      </c>
      <c r="E289">
        <f>C289&lt;0.05</f>
        <v/>
      </c>
      <c r="F289">
        <f>A289=$B$5</f>
        <v/>
      </c>
      <c r="G289">
        <f>IF(E289,A289,10^9)</f>
        <v/>
      </c>
      <c r="H289">
        <f>IF(E289,D289,10^9)</f>
        <v/>
      </c>
    </row>
    <row r="290">
      <c r="A290" t="n">
        <v>282</v>
      </c>
      <c r="B290" t="n">
        <v>0</v>
      </c>
      <c r="C290" t="n">
        <v>0</v>
      </c>
      <c r="D290" t="n">
        <v>488.6709868893363</v>
      </c>
      <c r="E290">
        <f>C290&lt;0.05</f>
        <v/>
      </c>
      <c r="F290">
        <f>A290=$B$5</f>
        <v/>
      </c>
      <c r="G290">
        <f>IF(E290,A290,10^9)</f>
        <v/>
      </c>
      <c r="H290">
        <f>IF(E290,D290,10^9)</f>
        <v/>
      </c>
    </row>
    <row r="291">
      <c r="A291" t="n">
        <v>283</v>
      </c>
      <c r="B291" t="n">
        <v>0</v>
      </c>
      <c r="C291" t="n">
        <v>0</v>
      </c>
      <c r="D291" t="n">
        <v>489.6709868893363</v>
      </c>
      <c r="E291">
        <f>C291&lt;0.05</f>
        <v/>
      </c>
      <c r="F291">
        <f>A291=$B$5</f>
        <v/>
      </c>
      <c r="G291">
        <f>IF(E291,A291,10^9)</f>
        <v/>
      </c>
      <c r="H291">
        <f>IF(E291,D291,10^9)</f>
        <v/>
      </c>
    </row>
    <row r="292">
      <c r="A292" t="n">
        <v>284</v>
      </c>
      <c r="B292" t="n">
        <v>0</v>
      </c>
      <c r="C292" t="n">
        <v>0</v>
      </c>
      <c r="D292" t="n">
        <v>490.6709868893363</v>
      </c>
      <c r="E292">
        <f>C292&lt;0.05</f>
        <v/>
      </c>
      <c r="F292">
        <f>A292=$B$5</f>
        <v/>
      </c>
      <c r="G292">
        <f>IF(E292,A292,10^9)</f>
        <v/>
      </c>
      <c r="H292">
        <f>IF(E292,D292,10^9)</f>
        <v/>
      </c>
    </row>
    <row r="293">
      <c r="A293" t="n">
        <v>285</v>
      </c>
      <c r="B293" t="n">
        <v>0</v>
      </c>
      <c r="C293" t="n">
        <v>0</v>
      </c>
      <c r="D293" t="n">
        <v>491.6709868893363</v>
      </c>
      <c r="E293">
        <f>C293&lt;0.05</f>
        <v/>
      </c>
      <c r="F293">
        <f>A293=$B$5</f>
        <v/>
      </c>
      <c r="G293">
        <f>IF(E293,A293,10^9)</f>
        <v/>
      </c>
      <c r="H293">
        <f>IF(E293,D293,10^9)</f>
        <v/>
      </c>
    </row>
    <row r="294">
      <c r="A294" t="n">
        <v>286</v>
      </c>
      <c r="B294" t="n">
        <v>0</v>
      </c>
      <c r="C294" t="n">
        <v>0</v>
      </c>
      <c r="D294" t="n">
        <v>492.6709868893363</v>
      </c>
      <c r="E294">
        <f>C294&lt;0.05</f>
        <v/>
      </c>
      <c r="F294">
        <f>A294=$B$5</f>
        <v/>
      </c>
      <c r="G294">
        <f>IF(E294,A294,10^9)</f>
        <v/>
      </c>
      <c r="H294">
        <f>IF(E294,D294,10^9)</f>
        <v/>
      </c>
    </row>
    <row r="295">
      <c r="A295" t="n">
        <v>287</v>
      </c>
      <c r="B295" t="n">
        <v>0</v>
      </c>
      <c r="C295" t="n">
        <v>0</v>
      </c>
      <c r="D295" t="n">
        <v>493.6709868893363</v>
      </c>
      <c r="E295">
        <f>C295&lt;0.05</f>
        <v/>
      </c>
      <c r="F295">
        <f>A295=$B$5</f>
        <v/>
      </c>
      <c r="G295">
        <f>IF(E295,A295,10^9)</f>
        <v/>
      </c>
      <c r="H295">
        <f>IF(E295,D295,10^9)</f>
        <v/>
      </c>
    </row>
    <row r="296">
      <c r="A296" t="n">
        <v>288</v>
      </c>
      <c r="B296" t="n">
        <v>0</v>
      </c>
      <c r="C296" t="n">
        <v>0</v>
      </c>
      <c r="D296" t="n">
        <v>494.6709868893363</v>
      </c>
      <c r="E296">
        <f>C296&lt;0.05</f>
        <v/>
      </c>
      <c r="F296">
        <f>A296=$B$5</f>
        <v/>
      </c>
      <c r="G296">
        <f>IF(E296,A296,10^9)</f>
        <v/>
      </c>
      <c r="H296">
        <f>IF(E296,D296,10^9)</f>
        <v/>
      </c>
    </row>
    <row r="297">
      <c r="A297" t="n">
        <v>289</v>
      </c>
      <c r="B297" t="n">
        <v>0</v>
      </c>
      <c r="C297" t="n">
        <v>0</v>
      </c>
      <c r="D297" t="n">
        <v>495.6709868893363</v>
      </c>
      <c r="E297">
        <f>C297&lt;0.05</f>
        <v/>
      </c>
      <c r="F297">
        <f>A297=$B$5</f>
        <v/>
      </c>
      <c r="G297">
        <f>IF(E297,A297,10^9)</f>
        <v/>
      </c>
      <c r="H297">
        <f>IF(E297,D297,10^9)</f>
        <v/>
      </c>
    </row>
    <row r="298">
      <c r="A298" t="n">
        <v>290</v>
      </c>
      <c r="B298" t="n">
        <v>0</v>
      </c>
      <c r="C298" t="n">
        <v>0</v>
      </c>
      <c r="D298" t="n">
        <v>496.6709868893363</v>
      </c>
      <c r="E298">
        <f>C298&lt;0.05</f>
        <v/>
      </c>
      <c r="F298">
        <f>A298=$B$5</f>
        <v/>
      </c>
      <c r="G298">
        <f>IF(E298,A298,10^9)</f>
        <v/>
      </c>
      <c r="H298">
        <f>IF(E298,D298,10^9)</f>
        <v/>
      </c>
    </row>
    <row r="299">
      <c r="A299" t="n">
        <v>291</v>
      </c>
      <c r="B299" t="n">
        <v>0</v>
      </c>
      <c r="C299" t="n">
        <v>0</v>
      </c>
      <c r="D299" t="n">
        <v>497.6709868893363</v>
      </c>
      <c r="E299">
        <f>C299&lt;0.05</f>
        <v/>
      </c>
      <c r="F299">
        <f>A299=$B$5</f>
        <v/>
      </c>
      <c r="G299">
        <f>IF(E299,A299,10^9)</f>
        <v/>
      </c>
      <c r="H299">
        <f>IF(E299,D299,10^9)</f>
        <v/>
      </c>
    </row>
    <row r="300">
      <c r="A300" t="n">
        <v>292</v>
      </c>
      <c r="B300" t="n">
        <v>0</v>
      </c>
      <c r="C300" t="n">
        <v>0</v>
      </c>
      <c r="D300" t="n">
        <v>498.6709868893363</v>
      </c>
      <c r="E300">
        <f>C300&lt;0.05</f>
        <v/>
      </c>
      <c r="F300">
        <f>A300=$B$5</f>
        <v/>
      </c>
      <c r="G300">
        <f>IF(E300,A300,10^9)</f>
        <v/>
      </c>
      <c r="H300">
        <f>IF(E300,D300,10^9)</f>
        <v/>
      </c>
    </row>
    <row r="301">
      <c r="A301" t="n">
        <v>293</v>
      </c>
      <c r="B301" t="n">
        <v>0</v>
      </c>
      <c r="C301" t="n">
        <v>0</v>
      </c>
      <c r="D301" t="n">
        <v>499.6709868893363</v>
      </c>
      <c r="E301">
        <f>C301&lt;0.05</f>
        <v/>
      </c>
      <c r="F301">
        <f>A301=$B$5</f>
        <v/>
      </c>
      <c r="G301">
        <f>IF(E301,A301,10^9)</f>
        <v/>
      </c>
      <c r="H301">
        <f>IF(E301,D301,10^9)</f>
        <v/>
      </c>
    </row>
    <row r="302">
      <c r="A302" t="n">
        <v>294</v>
      </c>
      <c r="B302" t="n">
        <v>0</v>
      </c>
      <c r="C302" t="n">
        <v>0</v>
      </c>
      <c r="D302" t="n">
        <v>500.6709868893363</v>
      </c>
      <c r="E302">
        <f>C302&lt;0.05</f>
        <v/>
      </c>
      <c r="F302">
        <f>A302=$B$5</f>
        <v/>
      </c>
      <c r="G302">
        <f>IF(E302,A302,10^9)</f>
        <v/>
      </c>
      <c r="H302">
        <f>IF(E302,D302,10^9)</f>
        <v/>
      </c>
    </row>
    <row r="303">
      <c r="A303" t="n">
        <v>295</v>
      </c>
      <c r="B303" t="n">
        <v>0</v>
      </c>
      <c r="C303" t="n">
        <v>0</v>
      </c>
      <c r="D303" t="n">
        <v>501.6709868893363</v>
      </c>
      <c r="E303">
        <f>C303&lt;0.05</f>
        <v/>
      </c>
      <c r="F303">
        <f>A303=$B$5</f>
        <v/>
      </c>
      <c r="G303">
        <f>IF(E303,A303,10^9)</f>
        <v/>
      </c>
      <c r="H303">
        <f>IF(E303,D303,10^9)</f>
        <v/>
      </c>
    </row>
    <row r="304">
      <c r="A304" t="n">
        <v>296</v>
      </c>
      <c r="B304" t="n">
        <v>0</v>
      </c>
      <c r="C304" t="n">
        <v>0</v>
      </c>
      <c r="D304" t="n">
        <v>502.6709868893363</v>
      </c>
      <c r="E304">
        <f>C304&lt;0.05</f>
        <v/>
      </c>
      <c r="F304">
        <f>A304=$B$5</f>
        <v/>
      </c>
      <c r="G304">
        <f>IF(E304,A304,10^9)</f>
        <v/>
      </c>
      <c r="H304">
        <f>IF(E304,D304,10^9)</f>
        <v/>
      </c>
    </row>
    <row r="305">
      <c r="A305" t="n">
        <v>297</v>
      </c>
      <c r="B305" t="n">
        <v>0</v>
      </c>
      <c r="C305" t="n">
        <v>0</v>
      </c>
      <c r="D305" t="n">
        <v>503.6709868893363</v>
      </c>
      <c r="E305">
        <f>C305&lt;0.05</f>
        <v/>
      </c>
      <c r="F305">
        <f>A305=$B$5</f>
        <v/>
      </c>
      <c r="G305">
        <f>IF(E305,A305,10^9)</f>
        <v/>
      </c>
      <c r="H305">
        <f>IF(E305,D305,10^9)</f>
        <v/>
      </c>
    </row>
    <row r="306">
      <c r="A306" t="n">
        <v>298</v>
      </c>
      <c r="B306" t="n">
        <v>0</v>
      </c>
      <c r="C306" t="n">
        <v>0</v>
      </c>
      <c r="D306" t="n">
        <v>504.6709868893363</v>
      </c>
      <c r="E306">
        <f>C306&lt;0.05</f>
        <v/>
      </c>
      <c r="F306">
        <f>A306=$B$5</f>
        <v/>
      </c>
      <c r="G306">
        <f>IF(E306,A306,10^9)</f>
        <v/>
      </c>
      <c r="H306">
        <f>IF(E306,D306,10^9)</f>
        <v/>
      </c>
    </row>
    <row r="307">
      <c r="A307" t="n">
        <v>299</v>
      </c>
      <c r="B307" t="n">
        <v>0</v>
      </c>
      <c r="C307" t="n">
        <v>0</v>
      </c>
      <c r="D307" t="n">
        <v>505.6709868893363</v>
      </c>
      <c r="E307">
        <f>C307&lt;0.05</f>
        <v/>
      </c>
      <c r="F307">
        <f>A307=$B$5</f>
        <v/>
      </c>
      <c r="G307">
        <f>IF(E307,A307,10^9)</f>
        <v/>
      </c>
      <c r="H307">
        <f>IF(E307,D307,10^9)</f>
        <v/>
      </c>
    </row>
    <row r="308">
      <c r="A308" t="n">
        <v>300</v>
      </c>
      <c r="B308" t="n">
        <v>0</v>
      </c>
      <c r="C308" t="n">
        <v>0</v>
      </c>
      <c r="D308" t="n">
        <v>506.6709868893363</v>
      </c>
      <c r="E308">
        <f>C308&lt;0.05</f>
        <v/>
      </c>
      <c r="F308">
        <f>A308=$B$5</f>
        <v/>
      </c>
      <c r="G308">
        <f>IF(E308,A308,10^9)</f>
        <v/>
      </c>
      <c r="H308">
        <f>IF(E308,D308,10^9)</f>
        <v/>
      </c>
    </row>
    <row r="309">
      <c r="A309" t="n">
        <v>301</v>
      </c>
      <c r="B309" t="n">
        <v>0</v>
      </c>
      <c r="C309" t="n">
        <v>0</v>
      </c>
      <c r="D309" t="n">
        <v>507.6709868893363</v>
      </c>
      <c r="E309">
        <f>C309&lt;0.05</f>
        <v/>
      </c>
      <c r="F309">
        <f>A309=$B$5</f>
        <v/>
      </c>
      <c r="G309">
        <f>IF(E309,A309,10^9)</f>
        <v/>
      </c>
      <c r="H309">
        <f>IF(E309,D309,10^9)</f>
        <v/>
      </c>
    </row>
    <row r="310">
      <c r="A310" t="n">
        <v>302</v>
      </c>
      <c r="B310" t="n">
        <v>0</v>
      </c>
      <c r="C310" t="n">
        <v>0</v>
      </c>
      <c r="D310" t="n">
        <v>508.6709868893363</v>
      </c>
      <c r="E310">
        <f>C310&lt;0.05</f>
        <v/>
      </c>
      <c r="F310">
        <f>A310=$B$5</f>
        <v/>
      </c>
      <c r="G310">
        <f>IF(E310,A310,10^9)</f>
        <v/>
      </c>
      <c r="H310">
        <f>IF(E310,D310,10^9)</f>
        <v/>
      </c>
    </row>
    <row r="311">
      <c r="A311" t="n">
        <v>303</v>
      </c>
      <c r="B311" t="n">
        <v>0</v>
      </c>
      <c r="C311" t="n">
        <v>0</v>
      </c>
      <c r="D311" t="n">
        <v>509.6709868893363</v>
      </c>
      <c r="E311">
        <f>C311&lt;0.05</f>
        <v/>
      </c>
      <c r="F311">
        <f>A311=$B$5</f>
        <v/>
      </c>
      <c r="G311">
        <f>IF(E311,A311,10^9)</f>
        <v/>
      </c>
      <c r="H311">
        <f>IF(E311,D311,10^9)</f>
        <v/>
      </c>
    </row>
    <row r="312">
      <c r="A312" t="n">
        <v>304</v>
      </c>
      <c r="B312" t="n">
        <v>0</v>
      </c>
      <c r="C312" t="n">
        <v>0</v>
      </c>
      <c r="D312" t="n">
        <v>510.6709868893363</v>
      </c>
      <c r="E312">
        <f>C312&lt;0.05</f>
        <v/>
      </c>
      <c r="F312">
        <f>A312=$B$5</f>
        <v/>
      </c>
      <c r="G312">
        <f>IF(E312,A312,10^9)</f>
        <v/>
      </c>
      <c r="H312">
        <f>IF(E312,D312,10^9)</f>
        <v/>
      </c>
    </row>
    <row r="313">
      <c r="A313" t="n">
        <v>305</v>
      </c>
      <c r="B313" t="n">
        <v>0</v>
      </c>
      <c r="C313" t="n">
        <v>0</v>
      </c>
      <c r="D313" t="n">
        <v>511.6709868893363</v>
      </c>
      <c r="E313">
        <f>C313&lt;0.05</f>
        <v/>
      </c>
      <c r="F313">
        <f>A313=$B$5</f>
        <v/>
      </c>
      <c r="G313">
        <f>IF(E313,A313,10^9)</f>
        <v/>
      </c>
      <c r="H313">
        <f>IF(E313,D313,10^9)</f>
        <v/>
      </c>
    </row>
    <row r="314">
      <c r="A314" t="n">
        <v>306</v>
      </c>
      <c r="B314" t="n">
        <v>0</v>
      </c>
      <c r="C314" t="n">
        <v>0</v>
      </c>
      <c r="D314" t="n">
        <v>512.6709868893363</v>
      </c>
      <c r="E314">
        <f>C314&lt;0.05</f>
        <v/>
      </c>
      <c r="F314">
        <f>A314=$B$5</f>
        <v/>
      </c>
      <c r="G314">
        <f>IF(E314,A314,10^9)</f>
        <v/>
      </c>
      <c r="H314">
        <f>IF(E314,D314,10^9)</f>
        <v/>
      </c>
    </row>
    <row r="315">
      <c r="A315" t="n">
        <v>307</v>
      </c>
      <c r="B315" t="n">
        <v>0</v>
      </c>
      <c r="C315" t="n">
        <v>0</v>
      </c>
      <c r="D315" t="n">
        <v>513.6709868893363</v>
      </c>
      <c r="E315">
        <f>C315&lt;0.05</f>
        <v/>
      </c>
      <c r="F315">
        <f>A315=$B$5</f>
        <v/>
      </c>
      <c r="G315">
        <f>IF(E315,A315,10^9)</f>
        <v/>
      </c>
      <c r="H315">
        <f>IF(E315,D315,10^9)</f>
        <v/>
      </c>
    </row>
    <row r="316">
      <c r="A316" t="n">
        <v>308</v>
      </c>
      <c r="B316" t="n">
        <v>0</v>
      </c>
      <c r="C316" t="n">
        <v>0</v>
      </c>
      <c r="D316" t="n">
        <v>514.6709868893363</v>
      </c>
      <c r="E316">
        <f>C316&lt;0.05</f>
        <v/>
      </c>
      <c r="F316">
        <f>A316=$B$5</f>
        <v/>
      </c>
      <c r="G316">
        <f>IF(E316,A316,10^9)</f>
        <v/>
      </c>
      <c r="H316">
        <f>IF(E316,D316,10^9)</f>
        <v/>
      </c>
    </row>
    <row r="317">
      <c r="A317" t="n">
        <v>309</v>
      </c>
      <c r="B317" t="n">
        <v>0</v>
      </c>
      <c r="C317" t="n">
        <v>0</v>
      </c>
      <c r="D317" t="n">
        <v>515.6709868893363</v>
      </c>
      <c r="E317">
        <f>C317&lt;0.05</f>
        <v/>
      </c>
      <c r="F317">
        <f>A317=$B$5</f>
        <v/>
      </c>
      <c r="G317">
        <f>IF(E317,A317,10^9)</f>
        <v/>
      </c>
      <c r="H317">
        <f>IF(E317,D317,10^9)</f>
        <v/>
      </c>
    </row>
    <row r="318">
      <c r="A318" t="n">
        <v>310</v>
      </c>
      <c r="B318" t="n">
        <v>0</v>
      </c>
      <c r="C318" t="n">
        <v>0</v>
      </c>
      <c r="D318" t="n">
        <v>516.6709868893363</v>
      </c>
      <c r="E318">
        <f>C318&lt;0.05</f>
        <v/>
      </c>
      <c r="F318">
        <f>A318=$B$5</f>
        <v/>
      </c>
      <c r="G318">
        <f>IF(E318,A318,10^9)</f>
        <v/>
      </c>
      <c r="H318">
        <f>IF(E318,D318,10^9)</f>
        <v/>
      </c>
    </row>
    <row r="319">
      <c r="A319" t="n">
        <v>311</v>
      </c>
      <c r="B319" t="n">
        <v>0</v>
      </c>
      <c r="C319" t="n">
        <v>0</v>
      </c>
      <c r="D319" t="n">
        <v>517.6709868893363</v>
      </c>
      <c r="E319">
        <f>C319&lt;0.05</f>
        <v/>
      </c>
      <c r="F319">
        <f>A319=$B$5</f>
        <v/>
      </c>
      <c r="G319">
        <f>IF(E319,A319,10^9)</f>
        <v/>
      </c>
      <c r="H319">
        <f>IF(E319,D319,10^9)</f>
        <v/>
      </c>
    </row>
    <row r="320">
      <c r="A320" t="n">
        <v>312</v>
      </c>
      <c r="B320" t="n">
        <v>0</v>
      </c>
      <c r="C320" t="n">
        <v>0</v>
      </c>
      <c r="D320" t="n">
        <v>518.6709868893363</v>
      </c>
      <c r="E320">
        <f>C320&lt;0.05</f>
        <v/>
      </c>
      <c r="F320">
        <f>A320=$B$5</f>
        <v/>
      </c>
      <c r="G320">
        <f>IF(E320,A320,10^9)</f>
        <v/>
      </c>
      <c r="H320">
        <f>IF(E320,D320,10^9)</f>
        <v/>
      </c>
    </row>
    <row r="321">
      <c r="A321" t="n">
        <v>313</v>
      </c>
      <c r="B321" t="n">
        <v>0</v>
      </c>
      <c r="C321" t="n">
        <v>0</v>
      </c>
      <c r="D321" t="n">
        <v>519.6709868893363</v>
      </c>
      <c r="E321">
        <f>C321&lt;0.05</f>
        <v/>
      </c>
      <c r="F321">
        <f>A321=$B$5</f>
        <v/>
      </c>
      <c r="G321">
        <f>IF(E321,A321,10^9)</f>
        <v/>
      </c>
      <c r="H321">
        <f>IF(E321,D321,10^9)</f>
        <v/>
      </c>
    </row>
    <row r="322">
      <c r="A322" t="n">
        <v>314</v>
      </c>
      <c r="B322" t="n">
        <v>0</v>
      </c>
      <c r="C322" t="n">
        <v>0</v>
      </c>
      <c r="D322" t="n">
        <v>520.6709868893363</v>
      </c>
      <c r="E322">
        <f>C322&lt;0.05</f>
        <v/>
      </c>
      <c r="F322">
        <f>A322=$B$5</f>
        <v/>
      </c>
      <c r="G322">
        <f>IF(E322,A322,10^9)</f>
        <v/>
      </c>
      <c r="H322">
        <f>IF(E322,D322,10^9)</f>
        <v/>
      </c>
    </row>
    <row r="323">
      <c r="A323" t="n">
        <v>315</v>
      </c>
      <c r="B323" t="n">
        <v>0</v>
      </c>
      <c r="C323" t="n">
        <v>0</v>
      </c>
      <c r="D323" t="n">
        <v>521.6709868893363</v>
      </c>
      <c r="E323">
        <f>C323&lt;0.05</f>
        <v/>
      </c>
      <c r="F323">
        <f>A323=$B$5</f>
        <v/>
      </c>
      <c r="G323">
        <f>IF(E323,A323,10^9)</f>
        <v/>
      </c>
      <c r="H323">
        <f>IF(E323,D323,10^9)</f>
        <v/>
      </c>
    </row>
    <row r="324">
      <c r="A324" t="n">
        <v>316</v>
      </c>
      <c r="B324" t="n">
        <v>0</v>
      </c>
      <c r="C324" t="n">
        <v>0</v>
      </c>
      <c r="D324" t="n">
        <v>522.6709868893363</v>
      </c>
      <c r="E324">
        <f>C324&lt;0.05</f>
        <v/>
      </c>
      <c r="F324">
        <f>A324=$B$5</f>
        <v/>
      </c>
      <c r="G324">
        <f>IF(E324,A324,10^9)</f>
        <v/>
      </c>
      <c r="H324">
        <f>IF(E324,D324,10^9)</f>
        <v/>
      </c>
    </row>
    <row r="325">
      <c r="A325" t="n">
        <v>317</v>
      </c>
      <c r="B325" t="n">
        <v>0</v>
      </c>
      <c r="C325" t="n">
        <v>0</v>
      </c>
      <c r="D325" t="n">
        <v>523.6709868893363</v>
      </c>
      <c r="E325">
        <f>C325&lt;0.05</f>
        <v/>
      </c>
      <c r="F325">
        <f>A325=$B$5</f>
        <v/>
      </c>
      <c r="G325">
        <f>IF(E325,A325,10^9)</f>
        <v/>
      </c>
      <c r="H325">
        <f>IF(E325,D325,10^9)</f>
        <v/>
      </c>
    </row>
    <row r="326">
      <c r="A326" t="n">
        <v>318</v>
      </c>
      <c r="B326" t="n">
        <v>0</v>
      </c>
      <c r="C326" t="n">
        <v>0</v>
      </c>
      <c r="D326" t="n">
        <v>524.6709868893363</v>
      </c>
      <c r="E326">
        <f>C326&lt;0.05</f>
        <v/>
      </c>
      <c r="F326">
        <f>A326=$B$5</f>
        <v/>
      </c>
      <c r="G326">
        <f>IF(E326,A326,10^9)</f>
        <v/>
      </c>
      <c r="H326">
        <f>IF(E326,D326,10^9)</f>
        <v/>
      </c>
    </row>
    <row r="327">
      <c r="A327" t="n">
        <v>319</v>
      </c>
      <c r="B327" t="n">
        <v>0</v>
      </c>
      <c r="C327" t="n">
        <v>0</v>
      </c>
      <c r="D327" t="n">
        <v>525.6709868893363</v>
      </c>
      <c r="E327">
        <f>C327&lt;0.05</f>
        <v/>
      </c>
      <c r="F327">
        <f>A327=$B$5</f>
        <v/>
      </c>
      <c r="G327">
        <f>IF(E327,A327,10^9)</f>
        <v/>
      </c>
      <c r="H327">
        <f>IF(E327,D327,10^9)</f>
        <v/>
      </c>
    </row>
    <row r="328">
      <c r="A328" t="n">
        <v>320</v>
      </c>
      <c r="B328" t="n">
        <v>0</v>
      </c>
      <c r="C328" t="n">
        <v>0</v>
      </c>
      <c r="D328" t="n">
        <v>526.6709868893363</v>
      </c>
      <c r="E328">
        <f>C328&lt;0.05</f>
        <v/>
      </c>
      <c r="F328">
        <f>A328=$B$5</f>
        <v/>
      </c>
      <c r="G328">
        <f>IF(E328,A328,10^9)</f>
        <v/>
      </c>
      <c r="H328">
        <f>IF(E328,D328,10^9)</f>
        <v/>
      </c>
    </row>
    <row r="329">
      <c r="A329" t="n">
        <v>321</v>
      </c>
      <c r="B329" t="n">
        <v>0</v>
      </c>
      <c r="C329" t="n">
        <v>0</v>
      </c>
      <c r="D329" t="n">
        <v>527.6709868893363</v>
      </c>
      <c r="E329">
        <f>C329&lt;0.05</f>
        <v/>
      </c>
      <c r="F329">
        <f>A329=$B$5</f>
        <v/>
      </c>
      <c r="G329">
        <f>IF(E329,A329,10^9)</f>
        <v/>
      </c>
      <c r="H329">
        <f>IF(E329,D329,10^9)</f>
        <v/>
      </c>
    </row>
    <row r="330">
      <c r="A330" t="n">
        <v>322</v>
      </c>
      <c r="B330" t="n">
        <v>0</v>
      </c>
      <c r="C330" t="n">
        <v>0</v>
      </c>
      <c r="D330" t="n">
        <v>528.6709868893363</v>
      </c>
      <c r="E330">
        <f>C330&lt;0.05</f>
        <v/>
      </c>
      <c r="F330">
        <f>A330=$B$5</f>
        <v/>
      </c>
      <c r="G330">
        <f>IF(E330,A330,10^9)</f>
        <v/>
      </c>
      <c r="H330">
        <f>IF(E330,D330,10^9)</f>
        <v/>
      </c>
    </row>
    <row r="331">
      <c r="A331" t="n">
        <v>323</v>
      </c>
      <c r="B331" t="n">
        <v>0</v>
      </c>
      <c r="C331" t="n">
        <v>0</v>
      </c>
      <c r="D331" t="n">
        <v>529.6709868893363</v>
      </c>
      <c r="E331">
        <f>C331&lt;0.05</f>
        <v/>
      </c>
      <c r="F331">
        <f>A331=$B$5</f>
        <v/>
      </c>
      <c r="G331">
        <f>IF(E331,A331,10^9)</f>
        <v/>
      </c>
      <c r="H331">
        <f>IF(E331,D331,10^9)</f>
        <v/>
      </c>
    </row>
    <row r="332">
      <c r="A332" t="n">
        <v>324</v>
      </c>
      <c r="B332" t="n">
        <v>0</v>
      </c>
      <c r="C332" t="n">
        <v>0</v>
      </c>
      <c r="D332" t="n">
        <v>530.6709868893363</v>
      </c>
      <c r="E332">
        <f>C332&lt;0.05</f>
        <v/>
      </c>
      <c r="F332">
        <f>A332=$B$5</f>
        <v/>
      </c>
      <c r="G332">
        <f>IF(E332,A332,10^9)</f>
        <v/>
      </c>
      <c r="H332">
        <f>IF(E332,D332,10^9)</f>
        <v/>
      </c>
    </row>
    <row r="333">
      <c r="A333" t="n">
        <v>325</v>
      </c>
      <c r="B333" t="n">
        <v>0</v>
      </c>
      <c r="C333" t="n">
        <v>0</v>
      </c>
      <c r="D333" t="n">
        <v>531.6709868893363</v>
      </c>
      <c r="E333">
        <f>C333&lt;0.05</f>
        <v/>
      </c>
      <c r="F333">
        <f>A333=$B$5</f>
        <v/>
      </c>
      <c r="G333">
        <f>IF(E333,A333,10^9)</f>
        <v/>
      </c>
      <c r="H333">
        <f>IF(E333,D333,10^9)</f>
        <v/>
      </c>
    </row>
    <row r="334">
      <c r="A334" t="n">
        <v>326</v>
      </c>
      <c r="B334" t="n">
        <v>0</v>
      </c>
      <c r="C334" t="n">
        <v>0</v>
      </c>
      <c r="D334" t="n">
        <v>532.6709868893363</v>
      </c>
      <c r="E334">
        <f>C334&lt;0.05</f>
        <v/>
      </c>
      <c r="F334">
        <f>A334=$B$5</f>
        <v/>
      </c>
      <c r="G334">
        <f>IF(E334,A334,10^9)</f>
        <v/>
      </c>
      <c r="H334">
        <f>IF(E334,D334,10^9)</f>
        <v/>
      </c>
    </row>
    <row r="335">
      <c r="A335" t="n">
        <v>327</v>
      </c>
      <c r="B335" t="n">
        <v>0</v>
      </c>
      <c r="C335" t="n">
        <v>0</v>
      </c>
      <c r="D335" t="n">
        <v>533.6709868893363</v>
      </c>
      <c r="E335">
        <f>C335&lt;0.05</f>
        <v/>
      </c>
      <c r="F335">
        <f>A335=$B$5</f>
        <v/>
      </c>
      <c r="G335">
        <f>IF(E335,A335,10^9)</f>
        <v/>
      </c>
      <c r="H335">
        <f>IF(E335,D335,10^9)</f>
        <v/>
      </c>
    </row>
    <row r="336">
      <c r="A336" t="n">
        <v>328</v>
      </c>
      <c r="B336" t="n">
        <v>0</v>
      </c>
      <c r="C336" t="n">
        <v>0</v>
      </c>
      <c r="D336" t="n">
        <v>534.6709868893363</v>
      </c>
      <c r="E336">
        <f>C336&lt;0.05</f>
        <v/>
      </c>
      <c r="F336">
        <f>A336=$B$5</f>
        <v/>
      </c>
      <c r="G336">
        <f>IF(E336,A336,10^9)</f>
        <v/>
      </c>
      <c r="H336">
        <f>IF(E336,D336,10^9)</f>
        <v/>
      </c>
    </row>
    <row r="337">
      <c r="A337" t="n">
        <v>329</v>
      </c>
      <c r="B337" t="n">
        <v>0</v>
      </c>
      <c r="C337" t="n">
        <v>0</v>
      </c>
      <c r="D337" t="n">
        <v>535.6709868893363</v>
      </c>
      <c r="E337">
        <f>C337&lt;0.05</f>
        <v/>
      </c>
      <c r="F337">
        <f>A337=$B$5</f>
        <v/>
      </c>
      <c r="G337">
        <f>IF(E337,A337,10^9)</f>
        <v/>
      </c>
      <c r="H337">
        <f>IF(E337,D337,10^9)</f>
        <v/>
      </c>
    </row>
    <row r="338">
      <c r="A338" t="n">
        <v>330</v>
      </c>
      <c r="B338" t="n">
        <v>0</v>
      </c>
      <c r="C338" t="n">
        <v>0</v>
      </c>
      <c r="D338" t="n">
        <v>536.6709868893363</v>
      </c>
      <c r="E338">
        <f>C338&lt;0.05</f>
        <v/>
      </c>
      <c r="F338">
        <f>A338=$B$5</f>
        <v/>
      </c>
      <c r="G338">
        <f>IF(E338,A338,10^9)</f>
        <v/>
      </c>
      <c r="H338">
        <f>IF(E338,D338,10^9)</f>
        <v/>
      </c>
    </row>
    <row r="339">
      <c r="A339" t="n">
        <v>331</v>
      </c>
      <c r="B339" t="n">
        <v>0</v>
      </c>
      <c r="C339" t="n">
        <v>0</v>
      </c>
      <c r="D339" t="n">
        <v>537.6709868893363</v>
      </c>
      <c r="E339">
        <f>C339&lt;0.05</f>
        <v/>
      </c>
      <c r="F339">
        <f>A339=$B$5</f>
        <v/>
      </c>
      <c r="G339">
        <f>IF(E339,A339,10^9)</f>
        <v/>
      </c>
      <c r="H339">
        <f>IF(E339,D339,10^9)</f>
        <v/>
      </c>
    </row>
    <row r="340">
      <c r="A340" t="n">
        <v>332</v>
      </c>
      <c r="B340" t="n">
        <v>0</v>
      </c>
      <c r="C340" t="n">
        <v>0</v>
      </c>
      <c r="D340" t="n">
        <v>538.6709868893363</v>
      </c>
      <c r="E340">
        <f>C340&lt;0.05</f>
        <v/>
      </c>
      <c r="F340">
        <f>A340=$B$5</f>
        <v/>
      </c>
      <c r="G340">
        <f>IF(E340,A340,10^9)</f>
        <v/>
      </c>
      <c r="H340">
        <f>IF(E340,D340,10^9)</f>
        <v/>
      </c>
    </row>
    <row r="341">
      <c r="A341" t="n">
        <v>333</v>
      </c>
      <c r="B341" t="n">
        <v>0</v>
      </c>
      <c r="C341" t="n">
        <v>0</v>
      </c>
      <c r="D341" t="n">
        <v>539.6709868893363</v>
      </c>
      <c r="E341">
        <f>C341&lt;0.05</f>
        <v/>
      </c>
      <c r="F341">
        <f>A341=$B$5</f>
        <v/>
      </c>
      <c r="G341">
        <f>IF(E341,A341,10^9)</f>
        <v/>
      </c>
      <c r="H341">
        <f>IF(E341,D341,10^9)</f>
        <v/>
      </c>
    </row>
    <row r="342">
      <c r="A342" t="n">
        <v>334</v>
      </c>
      <c r="B342" t="n">
        <v>0</v>
      </c>
      <c r="C342" t="n">
        <v>0</v>
      </c>
      <c r="D342" t="n">
        <v>540.6709868893363</v>
      </c>
      <c r="E342">
        <f>C342&lt;0.05</f>
        <v/>
      </c>
      <c r="F342">
        <f>A342=$B$5</f>
        <v/>
      </c>
      <c r="G342">
        <f>IF(E342,A342,10^9)</f>
        <v/>
      </c>
      <c r="H342">
        <f>IF(E342,D342,10^9)</f>
        <v/>
      </c>
    </row>
    <row r="343">
      <c r="A343" t="n">
        <v>335</v>
      </c>
      <c r="B343" t="n">
        <v>0</v>
      </c>
      <c r="C343" t="n">
        <v>0</v>
      </c>
      <c r="D343" t="n">
        <v>541.6709868893363</v>
      </c>
      <c r="E343">
        <f>C343&lt;0.05</f>
        <v/>
      </c>
      <c r="F343">
        <f>A343=$B$5</f>
        <v/>
      </c>
      <c r="G343">
        <f>IF(E343,A343,10^9)</f>
        <v/>
      </c>
      <c r="H343">
        <f>IF(E343,D343,10^9)</f>
        <v/>
      </c>
    </row>
    <row r="344">
      <c r="A344" t="n">
        <v>336</v>
      </c>
      <c r="B344" t="n">
        <v>0</v>
      </c>
      <c r="C344" t="n">
        <v>0</v>
      </c>
      <c r="D344" t="n">
        <v>542.6709868893363</v>
      </c>
      <c r="E344">
        <f>C344&lt;0.05</f>
        <v/>
      </c>
      <c r="F344">
        <f>A344=$B$5</f>
        <v/>
      </c>
      <c r="G344">
        <f>IF(E344,A344,10^9)</f>
        <v/>
      </c>
      <c r="H344">
        <f>IF(E344,D344,10^9)</f>
        <v/>
      </c>
    </row>
    <row r="345">
      <c r="A345" t="n">
        <v>337</v>
      </c>
      <c r="B345" t="n">
        <v>0</v>
      </c>
      <c r="C345" t="n">
        <v>0</v>
      </c>
      <c r="D345" t="n">
        <v>543.6709868893363</v>
      </c>
      <c r="E345">
        <f>C345&lt;0.05</f>
        <v/>
      </c>
      <c r="F345">
        <f>A345=$B$5</f>
        <v/>
      </c>
      <c r="G345">
        <f>IF(E345,A345,10^9)</f>
        <v/>
      </c>
      <c r="H345">
        <f>IF(E345,D345,10^9)</f>
        <v/>
      </c>
    </row>
    <row r="346">
      <c r="A346" t="n">
        <v>338</v>
      </c>
      <c r="B346" t="n">
        <v>0</v>
      </c>
      <c r="C346" t="n">
        <v>0</v>
      </c>
      <c r="D346" t="n">
        <v>544.6709868893363</v>
      </c>
      <c r="E346">
        <f>C346&lt;0.05</f>
        <v/>
      </c>
      <c r="F346">
        <f>A346=$B$5</f>
        <v/>
      </c>
      <c r="G346">
        <f>IF(E346,A346,10^9)</f>
        <v/>
      </c>
      <c r="H346">
        <f>IF(E346,D346,10^9)</f>
        <v/>
      </c>
    </row>
    <row r="347">
      <c r="A347" t="n">
        <v>339</v>
      </c>
      <c r="B347" t="n">
        <v>0</v>
      </c>
      <c r="C347" t="n">
        <v>0</v>
      </c>
      <c r="D347" t="n">
        <v>545.6709868893363</v>
      </c>
      <c r="E347">
        <f>C347&lt;0.05</f>
        <v/>
      </c>
      <c r="F347">
        <f>A347=$B$5</f>
        <v/>
      </c>
      <c r="G347">
        <f>IF(E347,A347,10^9)</f>
        <v/>
      </c>
      <c r="H347">
        <f>IF(E347,D347,10^9)</f>
        <v/>
      </c>
    </row>
    <row r="348">
      <c r="A348" t="n">
        <v>340</v>
      </c>
      <c r="B348" t="n">
        <v>0</v>
      </c>
      <c r="C348" t="n">
        <v>0</v>
      </c>
      <c r="D348" t="n">
        <v>546.6709868893363</v>
      </c>
      <c r="E348">
        <f>C348&lt;0.05</f>
        <v/>
      </c>
      <c r="F348">
        <f>A348=$B$5</f>
        <v/>
      </c>
      <c r="G348">
        <f>IF(E348,A348,10^9)</f>
        <v/>
      </c>
      <c r="H348">
        <f>IF(E348,D348,10^9)</f>
        <v/>
      </c>
    </row>
    <row r="349">
      <c r="A349" t="n">
        <v>341</v>
      </c>
      <c r="B349" t="n">
        <v>0</v>
      </c>
      <c r="C349" t="n">
        <v>0</v>
      </c>
      <c r="D349" t="n">
        <v>547.6709868893363</v>
      </c>
      <c r="E349">
        <f>C349&lt;0.05</f>
        <v/>
      </c>
      <c r="F349">
        <f>A349=$B$5</f>
        <v/>
      </c>
      <c r="G349">
        <f>IF(E349,A349,10^9)</f>
        <v/>
      </c>
      <c r="H349">
        <f>IF(E349,D349,10^9)</f>
        <v/>
      </c>
    </row>
    <row r="350">
      <c r="A350" t="n">
        <v>342</v>
      </c>
      <c r="B350" t="n">
        <v>0</v>
      </c>
      <c r="C350" t="n">
        <v>0</v>
      </c>
      <c r="D350" t="n">
        <v>548.6709868893363</v>
      </c>
      <c r="E350">
        <f>C350&lt;0.05</f>
        <v/>
      </c>
      <c r="F350">
        <f>A350=$B$5</f>
        <v/>
      </c>
      <c r="G350">
        <f>IF(E350,A350,10^9)</f>
        <v/>
      </c>
      <c r="H350">
        <f>IF(E350,D350,10^9)</f>
        <v/>
      </c>
    </row>
    <row r="351">
      <c r="A351" t="n">
        <v>343</v>
      </c>
      <c r="B351" t="n">
        <v>0</v>
      </c>
      <c r="C351" t="n">
        <v>0</v>
      </c>
      <c r="D351" t="n">
        <v>549.6709868893363</v>
      </c>
      <c r="E351">
        <f>C351&lt;0.05</f>
        <v/>
      </c>
      <c r="F351">
        <f>A351=$B$5</f>
        <v/>
      </c>
      <c r="G351">
        <f>IF(E351,A351,10^9)</f>
        <v/>
      </c>
      <c r="H351">
        <f>IF(E351,D351,10^9)</f>
        <v/>
      </c>
    </row>
    <row r="352">
      <c r="A352" t="n">
        <v>344</v>
      </c>
      <c r="B352" t="n">
        <v>0</v>
      </c>
      <c r="C352" t="n">
        <v>0</v>
      </c>
      <c r="D352" t="n">
        <v>550.6709868893363</v>
      </c>
      <c r="E352">
        <f>C352&lt;0.05</f>
        <v/>
      </c>
      <c r="F352">
        <f>A352=$B$5</f>
        <v/>
      </c>
      <c r="G352">
        <f>IF(E352,A352,10^9)</f>
        <v/>
      </c>
      <c r="H352">
        <f>IF(E352,D352,10^9)</f>
        <v/>
      </c>
    </row>
    <row r="353">
      <c r="A353" t="n">
        <v>345</v>
      </c>
      <c r="B353" t="n">
        <v>0</v>
      </c>
      <c r="C353" t="n">
        <v>0</v>
      </c>
      <c r="D353" t="n">
        <v>551.6709868893363</v>
      </c>
      <c r="E353">
        <f>C353&lt;0.05</f>
        <v/>
      </c>
      <c r="F353">
        <f>A353=$B$5</f>
        <v/>
      </c>
      <c r="G353">
        <f>IF(E353,A353,10^9)</f>
        <v/>
      </c>
      <c r="H353">
        <f>IF(E353,D353,10^9)</f>
        <v/>
      </c>
    </row>
    <row r="354">
      <c r="A354" t="n">
        <v>346</v>
      </c>
      <c r="B354" t="n">
        <v>0</v>
      </c>
      <c r="C354" t="n">
        <v>0</v>
      </c>
      <c r="D354" t="n">
        <v>552.6709868893363</v>
      </c>
      <c r="E354">
        <f>C354&lt;0.05</f>
        <v/>
      </c>
      <c r="F354">
        <f>A354=$B$5</f>
        <v/>
      </c>
      <c r="G354">
        <f>IF(E354,A354,10^9)</f>
        <v/>
      </c>
      <c r="H354">
        <f>IF(E354,D354,10^9)</f>
        <v/>
      </c>
    </row>
    <row r="355">
      <c r="A355" t="n">
        <v>347</v>
      </c>
      <c r="B355" t="n">
        <v>0</v>
      </c>
      <c r="C355" t="n">
        <v>0</v>
      </c>
      <c r="D355" t="n">
        <v>553.6709868893363</v>
      </c>
      <c r="E355">
        <f>C355&lt;0.05</f>
        <v/>
      </c>
      <c r="F355">
        <f>A355=$B$5</f>
        <v/>
      </c>
      <c r="G355">
        <f>IF(E355,A355,10^9)</f>
        <v/>
      </c>
      <c r="H355">
        <f>IF(E355,D355,10^9)</f>
        <v/>
      </c>
    </row>
    <row r="356">
      <c r="A356" t="n">
        <v>348</v>
      </c>
      <c r="B356" t="n">
        <v>0</v>
      </c>
      <c r="C356" t="n">
        <v>0</v>
      </c>
      <c r="D356" t="n">
        <v>554.6709868893363</v>
      </c>
      <c r="E356">
        <f>C356&lt;0.05</f>
        <v/>
      </c>
      <c r="F356">
        <f>A356=$B$5</f>
        <v/>
      </c>
      <c r="G356">
        <f>IF(E356,A356,10^9)</f>
        <v/>
      </c>
      <c r="H356">
        <f>IF(E356,D356,10^9)</f>
        <v/>
      </c>
    </row>
    <row r="357">
      <c r="A357" t="n">
        <v>349</v>
      </c>
      <c r="B357" t="n">
        <v>0</v>
      </c>
      <c r="C357" t="n">
        <v>0</v>
      </c>
      <c r="D357" t="n">
        <v>555.6709868893363</v>
      </c>
      <c r="E357">
        <f>C357&lt;0.05</f>
        <v/>
      </c>
      <c r="F357">
        <f>A357=$B$5</f>
        <v/>
      </c>
      <c r="G357">
        <f>IF(E357,A357,10^9)</f>
        <v/>
      </c>
      <c r="H357">
        <f>IF(E357,D357,10^9)</f>
        <v/>
      </c>
    </row>
    <row r="358">
      <c r="A358" t="n">
        <v>350</v>
      </c>
      <c r="B358" t="n">
        <v>0</v>
      </c>
      <c r="C358" t="n">
        <v>0</v>
      </c>
      <c r="D358" t="n">
        <v>556.6709868893363</v>
      </c>
      <c r="E358">
        <f>C358&lt;0.05</f>
        <v/>
      </c>
      <c r="F358">
        <f>A358=$B$5</f>
        <v/>
      </c>
      <c r="G358">
        <f>IF(E358,A358,10^9)</f>
        <v/>
      </c>
      <c r="H358">
        <f>IF(E358,D358,10^9)</f>
        <v/>
      </c>
    </row>
    <row r="359">
      <c r="A359" t="n">
        <v>351</v>
      </c>
      <c r="B359" t="n">
        <v>0</v>
      </c>
      <c r="C359" t="n">
        <v>0</v>
      </c>
      <c r="D359" t="n">
        <v>557.6709868893363</v>
      </c>
      <c r="E359">
        <f>C359&lt;0.05</f>
        <v/>
      </c>
      <c r="F359">
        <f>A359=$B$5</f>
        <v/>
      </c>
      <c r="G359">
        <f>IF(E359,A359,10^9)</f>
        <v/>
      </c>
      <c r="H359">
        <f>IF(E359,D359,10^9)</f>
        <v/>
      </c>
    </row>
    <row r="360">
      <c r="A360" t="n">
        <v>352</v>
      </c>
      <c r="B360" t="n">
        <v>0</v>
      </c>
      <c r="C360" t="n">
        <v>0</v>
      </c>
      <c r="D360" t="n">
        <v>558.6709868893363</v>
      </c>
      <c r="E360">
        <f>C360&lt;0.05</f>
        <v/>
      </c>
      <c r="F360">
        <f>A360=$B$5</f>
        <v/>
      </c>
      <c r="G360">
        <f>IF(E360,A360,10^9)</f>
        <v/>
      </c>
      <c r="H360">
        <f>IF(E360,D360,10^9)</f>
        <v/>
      </c>
    </row>
    <row r="361">
      <c r="A361" t="n">
        <v>353</v>
      </c>
      <c r="B361" t="n">
        <v>0</v>
      </c>
      <c r="C361" t="n">
        <v>0</v>
      </c>
      <c r="D361" t="n">
        <v>559.6709868893363</v>
      </c>
      <c r="E361">
        <f>C361&lt;0.05</f>
        <v/>
      </c>
      <c r="F361">
        <f>A361=$B$5</f>
        <v/>
      </c>
      <c r="G361">
        <f>IF(E361,A361,10^9)</f>
        <v/>
      </c>
      <c r="H361">
        <f>IF(E361,D361,10^9)</f>
        <v/>
      </c>
    </row>
    <row r="362">
      <c r="A362" t="n">
        <v>354</v>
      </c>
      <c r="B362" t="n">
        <v>0</v>
      </c>
      <c r="C362" t="n">
        <v>0</v>
      </c>
      <c r="D362" t="n">
        <v>560.6709868893363</v>
      </c>
      <c r="E362">
        <f>C362&lt;0.05</f>
        <v/>
      </c>
      <c r="F362">
        <f>A362=$B$5</f>
        <v/>
      </c>
      <c r="G362">
        <f>IF(E362,A362,10^9)</f>
        <v/>
      </c>
      <c r="H362">
        <f>IF(E362,D362,10^9)</f>
        <v/>
      </c>
    </row>
    <row r="363">
      <c r="A363" t="n">
        <v>355</v>
      </c>
      <c r="B363" t="n">
        <v>0</v>
      </c>
      <c r="C363" t="n">
        <v>0</v>
      </c>
      <c r="D363" t="n">
        <v>561.6709868893363</v>
      </c>
      <c r="E363">
        <f>C363&lt;0.05</f>
        <v/>
      </c>
      <c r="F363">
        <f>A363=$B$5</f>
        <v/>
      </c>
      <c r="G363">
        <f>IF(E363,A363,10^9)</f>
        <v/>
      </c>
      <c r="H363">
        <f>IF(E363,D363,10^9)</f>
        <v/>
      </c>
    </row>
    <row r="364">
      <c r="A364" t="n">
        <v>356</v>
      </c>
      <c r="B364" t="n">
        <v>0</v>
      </c>
      <c r="C364" t="n">
        <v>0</v>
      </c>
      <c r="D364" t="n">
        <v>562.6709868893363</v>
      </c>
      <c r="E364">
        <f>C364&lt;0.05</f>
        <v/>
      </c>
      <c r="F364">
        <f>A364=$B$5</f>
        <v/>
      </c>
      <c r="G364">
        <f>IF(E364,A364,10^9)</f>
        <v/>
      </c>
      <c r="H364">
        <f>IF(E364,D364,10^9)</f>
        <v/>
      </c>
    </row>
    <row r="365">
      <c r="A365" t="n">
        <v>357</v>
      </c>
      <c r="B365" t="n">
        <v>0</v>
      </c>
      <c r="C365" t="n">
        <v>0</v>
      </c>
      <c r="D365" t="n">
        <v>563.6709868893363</v>
      </c>
      <c r="E365">
        <f>C365&lt;0.05</f>
        <v/>
      </c>
      <c r="F365">
        <f>A365=$B$5</f>
        <v/>
      </c>
      <c r="G365">
        <f>IF(E365,A365,10^9)</f>
        <v/>
      </c>
      <c r="H365">
        <f>IF(E365,D365,10^9)</f>
        <v/>
      </c>
    </row>
    <row r="366">
      <c r="A366" t="n">
        <v>358</v>
      </c>
      <c r="B366" t="n">
        <v>0</v>
      </c>
      <c r="C366" t="n">
        <v>0</v>
      </c>
      <c r="D366" t="n">
        <v>564.6709868893363</v>
      </c>
      <c r="E366">
        <f>C366&lt;0.05</f>
        <v/>
      </c>
      <c r="F366">
        <f>A366=$B$5</f>
        <v/>
      </c>
      <c r="G366">
        <f>IF(E366,A366,10^9)</f>
        <v/>
      </c>
      <c r="H366">
        <f>IF(E366,D366,10^9)</f>
        <v/>
      </c>
    </row>
    <row r="367">
      <c r="A367" t="n">
        <v>359</v>
      </c>
      <c r="B367" t="n">
        <v>0</v>
      </c>
      <c r="C367" t="n">
        <v>0</v>
      </c>
      <c r="D367" t="n">
        <v>565.6709868893363</v>
      </c>
      <c r="E367">
        <f>C367&lt;0.05</f>
        <v/>
      </c>
      <c r="F367">
        <f>A367=$B$5</f>
        <v/>
      </c>
      <c r="G367">
        <f>IF(E367,A367,10^9)</f>
        <v/>
      </c>
      <c r="H367">
        <f>IF(E367,D367,10^9)</f>
        <v/>
      </c>
    </row>
    <row r="368">
      <c r="A368" t="n">
        <v>360</v>
      </c>
      <c r="B368" t="n">
        <v>0</v>
      </c>
      <c r="C368" t="n">
        <v>0</v>
      </c>
      <c r="D368" t="n">
        <v>566.6709868893363</v>
      </c>
      <c r="E368">
        <f>C368&lt;0.05</f>
        <v/>
      </c>
      <c r="F368">
        <f>A368=$B$5</f>
        <v/>
      </c>
      <c r="G368">
        <f>IF(E368,A368,10^9)</f>
        <v/>
      </c>
      <c r="H368">
        <f>IF(E368,D368,10^9)</f>
        <v/>
      </c>
    </row>
    <row r="369">
      <c r="A369" t="n">
        <v>361</v>
      </c>
      <c r="B369" t="n">
        <v>0</v>
      </c>
      <c r="C369" t="n">
        <v>0</v>
      </c>
      <c r="D369" t="n">
        <v>567.6709868893363</v>
      </c>
      <c r="E369">
        <f>C369&lt;0.05</f>
        <v/>
      </c>
      <c r="F369">
        <f>A369=$B$5</f>
        <v/>
      </c>
      <c r="G369">
        <f>IF(E369,A369,10^9)</f>
        <v/>
      </c>
      <c r="H369">
        <f>IF(E369,D369,10^9)</f>
        <v/>
      </c>
    </row>
    <row r="370">
      <c r="A370" t="n">
        <v>362</v>
      </c>
      <c r="B370" t="n">
        <v>0</v>
      </c>
      <c r="C370" t="n">
        <v>0</v>
      </c>
      <c r="D370" t="n">
        <v>568.6709868893363</v>
      </c>
      <c r="E370">
        <f>C370&lt;0.05</f>
        <v/>
      </c>
      <c r="F370">
        <f>A370=$B$5</f>
        <v/>
      </c>
      <c r="G370">
        <f>IF(E370,A370,10^9)</f>
        <v/>
      </c>
      <c r="H370">
        <f>IF(E370,D370,10^9)</f>
        <v/>
      </c>
    </row>
    <row r="371">
      <c r="A371" t="n">
        <v>363</v>
      </c>
      <c r="B371" t="n">
        <v>0</v>
      </c>
      <c r="C371" t="n">
        <v>0</v>
      </c>
      <c r="D371" t="n">
        <v>569.6709868893363</v>
      </c>
      <c r="E371">
        <f>C371&lt;0.05</f>
        <v/>
      </c>
      <c r="F371">
        <f>A371=$B$5</f>
        <v/>
      </c>
      <c r="G371">
        <f>IF(E371,A371,10^9)</f>
        <v/>
      </c>
      <c r="H371">
        <f>IF(E371,D371,10^9)</f>
        <v/>
      </c>
    </row>
    <row r="372">
      <c r="A372" t="n">
        <v>364</v>
      </c>
      <c r="B372" t="n">
        <v>0</v>
      </c>
      <c r="C372" t="n">
        <v>0</v>
      </c>
      <c r="D372" t="n">
        <v>570.6709868893363</v>
      </c>
      <c r="E372">
        <f>C372&lt;0.05</f>
        <v/>
      </c>
      <c r="F372">
        <f>A372=$B$5</f>
        <v/>
      </c>
      <c r="G372">
        <f>IF(E372,A372,10^9)</f>
        <v/>
      </c>
      <c r="H372">
        <f>IF(E372,D372,10^9)</f>
        <v/>
      </c>
    </row>
    <row r="373">
      <c r="A373" t="n">
        <v>365</v>
      </c>
      <c r="B373" t="n">
        <v>0</v>
      </c>
      <c r="C373" t="n">
        <v>0</v>
      </c>
      <c r="D373" t="n">
        <v>571.6709868893363</v>
      </c>
      <c r="E373">
        <f>C373&lt;0.05</f>
        <v/>
      </c>
      <c r="F373">
        <f>A373=$B$5</f>
        <v/>
      </c>
      <c r="G373">
        <f>IF(E373,A373,10^9)</f>
        <v/>
      </c>
      <c r="H373">
        <f>IF(E373,D373,10^9)</f>
        <v/>
      </c>
    </row>
    <row r="374">
      <c r="A374" t="n">
        <v>366</v>
      </c>
      <c r="B374" t="n">
        <v>0</v>
      </c>
      <c r="C374" t="n">
        <v>0</v>
      </c>
      <c r="D374" t="n">
        <v>572.6709868893363</v>
      </c>
      <c r="E374">
        <f>C374&lt;0.05</f>
        <v/>
      </c>
      <c r="F374">
        <f>A374=$B$5</f>
        <v/>
      </c>
      <c r="G374">
        <f>IF(E374,A374,10^9)</f>
        <v/>
      </c>
      <c r="H374">
        <f>IF(E374,D374,10^9)</f>
        <v/>
      </c>
    </row>
    <row r="375">
      <c r="A375" t="n">
        <v>367</v>
      </c>
      <c r="B375" t="n">
        <v>0</v>
      </c>
      <c r="C375" t="n">
        <v>0</v>
      </c>
      <c r="D375" t="n">
        <v>573.6709868893363</v>
      </c>
      <c r="E375">
        <f>C375&lt;0.05</f>
        <v/>
      </c>
      <c r="F375">
        <f>A375=$B$5</f>
        <v/>
      </c>
      <c r="G375">
        <f>IF(E375,A375,10^9)</f>
        <v/>
      </c>
      <c r="H375">
        <f>IF(E375,D375,10^9)</f>
        <v/>
      </c>
    </row>
    <row r="376">
      <c r="A376" t="n">
        <v>368</v>
      </c>
      <c r="B376" t="n">
        <v>0</v>
      </c>
      <c r="C376" t="n">
        <v>0</v>
      </c>
      <c r="D376" t="n">
        <v>574.6709868893363</v>
      </c>
      <c r="E376">
        <f>C376&lt;0.05</f>
        <v/>
      </c>
      <c r="F376">
        <f>A376=$B$5</f>
        <v/>
      </c>
      <c r="G376">
        <f>IF(E376,A376,10^9)</f>
        <v/>
      </c>
      <c r="H376">
        <f>IF(E376,D376,10^9)</f>
        <v/>
      </c>
    </row>
    <row r="377">
      <c r="A377" t="n">
        <v>369</v>
      </c>
      <c r="B377" t="n">
        <v>0</v>
      </c>
      <c r="C377" t="n">
        <v>0</v>
      </c>
      <c r="D377" t="n">
        <v>575.6709868893363</v>
      </c>
      <c r="E377">
        <f>C377&lt;0.05</f>
        <v/>
      </c>
      <c r="F377">
        <f>A377=$B$5</f>
        <v/>
      </c>
      <c r="G377">
        <f>IF(E377,A377,10^9)</f>
        <v/>
      </c>
      <c r="H377">
        <f>IF(E377,D377,10^9)</f>
        <v/>
      </c>
    </row>
    <row r="378">
      <c r="A378" t="n">
        <v>370</v>
      </c>
      <c r="B378" t="n">
        <v>0</v>
      </c>
      <c r="C378" t="n">
        <v>0</v>
      </c>
      <c r="D378" t="n">
        <v>576.6709868893363</v>
      </c>
      <c r="E378">
        <f>C378&lt;0.05</f>
        <v/>
      </c>
      <c r="F378">
        <f>A378=$B$5</f>
        <v/>
      </c>
      <c r="G378">
        <f>IF(E378,A378,10^9)</f>
        <v/>
      </c>
      <c r="H378">
        <f>IF(E378,D378,10^9)</f>
        <v/>
      </c>
    </row>
    <row r="379">
      <c r="A379" t="n">
        <v>371</v>
      </c>
      <c r="B379" t="n">
        <v>0</v>
      </c>
      <c r="C379" t="n">
        <v>0</v>
      </c>
      <c r="D379" t="n">
        <v>577.6709868893363</v>
      </c>
      <c r="E379">
        <f>C379&lt;0.05</f>
        <v/>
      </c>
      <c r="F379">
        <f>A379=$B$5</f>
        <v/>
      </c>
      <c r="G379">
        <f>IF(E379,A379,10^9)</f>
        <v/>
      </c>
      <c r="H379">
        <f>IF(E379,D379,10^9)</f>
        <v/>
      </c>
    </row>
    <row r="380">
      <c r="A380" t="n">
        <v>372</v>
      </c>
      <c r="B380" t="n">
        <v>0</v>
      </c>
      <c r="C380" t="n">
        <v>0</v>
      </c>
      <c r="D380" t="n">
        <v>578.6709868893363</v>
      </c>
      <c r="E380">
        <f>C380&lt;0.05</f>
        <v/>
      </c>
      <c r="F380">
        <f>A380=$B$5</f>
        <v/>
      </c>
      <c r="G380">
        <f>IF(E380,A380,10^9)</f>
        <v/>
      </c>
      <c r="H380">
        <f>IF(E380,D380,10^9)</f>
        <v/>
      </c>
    </row>
    <row r="381">
      <c r="A381" t="n">
        <v>373</v>
      </c>
      <c r="B381" t="n">
        <v>0</v>
      </c>
      <c r="C381" t="n">
        <v>0</v>
      </c>
      <c r="D381" t="n">
        <v>579.6709868893363</v>
      </c>
      <c r="E381">
        <f>C381&lt;0.05</f>
        <v/>
      </c>
      <c r="F381">
        <f>A381=$B$5</f>
        <v/>
      </c>
      <c r="G381">
        <f>IF(E381,A381,10^9)</f>
        <v/>
      </c>
      <c r="H381">
        <f>IF(E381,D381,10^9)</f>
        <v/>
      </c>
    </row>
    <row r="382">
      <c r="A382" t="n">
        <v>374</v>
      </c>
      <c r="B382" t="n">
        <v>0</v>
      </c>
      <c r="C382" t="n">
        <v>0</v>
      </c>
      <c r="D382" t="n">
        <v>580.6709868893363</v>
      </c>
      <c r="E382">
        <f>C382&lt;0.05</f>
        <v/>
      </c>
      <c r="F382">
        <f>A382=$B$5</f>
        <v/>
      </c>
      <c r="G382">
        <f>IF(E382,A382,10^9)</f>
        <v/>
      </c>
      <c r="H382">
        <f>IF(E382,D382,10^9)</f>
        <v/>
      </c>
    </row>
    <row r="383">
      <c r="A383" t="n">
        <v>375</v>
      </c>
      <c r="B383" t="n">
        <v>0</v>
      </c>
      <c r="C383" t="n">
        <v>0</v>
      </c>
      <c r="D383" t="n">
        <v>581.6709868893363</v>
      </c>
      <c r="E383">
        <f>C383&lt;0.05</f>
        <v/>
      </c>
      <c r="F383">
        <f>A383=$B$5</f>
        <v/>
      </c>
      <c r="G383">
        <f>IF(E383,A383,10^9)</f>
        <v/>
      </c>
      <c r="H383">
        <f>IF(E383,D383,10^9)</f>
        <v/>
      </c>
    </row>
    <row r="384">
      <c r="A384" t="n">
        <v>376</v>
      </c>
      <c r="B384" t="n">
        <v>0</v>
      </c>
      <c r="C384" t="n">
        <v>0</v>
      </c>
      <c r="D384" t="n">
        <v>582.6709868893363</v>
      </c>
      <c r="E384">
        <f>C384&lt;0.05</f>
        <v/>
      </c>
      <c r="F384">
        <f>A384=$B$5</f>
        <v/>
      </c>
      <c r="G384">
        <f>IF(E384,A384,10^9)</f>
        <v/>
      </c>
      <c r="H384">
        <f>IF(E384,D384,10^9)</f>
        <v/>
      </c>
    </row>
    <row r="385">
      <c r="A385" t="n">
        <v>377</v>
      </c>
      <c r="B385" t="n">
        <v>0</v>
      </c>
      <c r="C385" t="n">
        <v>0</v>
      </c>
      <c r="D385" t="n">
        <v>583.6709868893363</v>
      </c>
      <c r="E385">
        <f>C385&lt;0.05</f>
        <v/>
      </c>
      <c r="F385">
        <f>A385=$B$5</f>
        <v/>
      </c>
      <c r="G385">
        <f>IF(E385,A385,10^9)</f>
        <v/>
      </c>
      <c r="H385">
        <f>IF(E385,D385,10^9)</f>
        <v/>
      </c>
    </row>
    <row r="386">
      <c r="A386" t="n">
        <v>378</v>
      </c>
      <c r="B386" t="n">
        <v>0</v>
      </c>
      <c r="C386" t="n">
        <v>0</v>
      </c>
      <c r="D386" t="n">
        <v>584.6709868893363</v>
      </c>
      <c r="E386">
        <f>C386&lt;0.05</f>
        <v/>
      </c>
      <c r="F386">
        <f>A386=$B$5</f>
        <v/>
      </c>
      <c r="G386">
        <f>IF(E386,A386,10^9)</f>
        <v/>
      </c>
      <c r="H386">
        <f>IF(E386,D386,10^9)</f>
        <v/>
      </c>
    </row>
    <row r="387">
      <c r="A387" t="n">
        <v>379</v>
      </c>
      <c r="B387" t="n">
        <v>0</v>
      </c>
      <c r="C387" t="n">
        <v>0</v>
      </c>
      <c r="D387" t="n">
        <v>585.6709868893362</v>
      </c>
      <c r="E387">
        <f>C387&lt;0.05</f>
        <v/>
      </c>
      <c r="F387">
        <f>A387=$B$5</f>
        <v/>
      </c>
      <c r="G387">
        <f>IF(E387,A387,10^9)</f>
        <v/>
      </c>
      <c r="H387">
        <f>IF(E387,D387,10^9)</f>
        <v/>
      </c>
    </row>
    <row r="388">
      <c r="A388" t="n">
        <v>380</v>
      </c>
      <c r="B388" t="n">
        <v>0</v>
      </c>
      <c r="C388" t="n">
        <v>0</v>
      </c>
      <c r="D388" t="n">
        <v>586.6709868893362</v>
      </c>
      <c r="E388">
        <f>C388&lt;0.05</f>
        <v/>
      </c>
      <c r="F388">
        <f>A388=$B$5</f>
        <v/>
      </c>
      <c r="G388">
        <f>IF(E388,A388,10^9)</f>
        <v/>
      </c>
      <c r="H388">
        <f>IF(E388,D388,10^9)</f>
        <v/>
      </c>
    </row>
    <row r="389">
      <c r="A389" t="n">
        <v>381</v>
      </c>
      <c r="B389" t="n">
        <v>0</v>
      </c>
      <c r="C389" t="n">
        <v>0</v>
      </c>
      <c r="D389" t="n">
        <v>587.6709868893362</v>
      </c>
      <c r="E389">
        <f>C389&lt;0.05</f>
        <v/>
      </c>
      <c r="F389">
        <f>A389=$B$5</f>
        <v/>
      </c>
      <c r="G389">
        <f>IF(E389,A389,10^9)</f>
        <v/>
      </c>
      <c r="H389">
        <f>IF(E389,D389,10^9)</f>
        <v/>
      </c>
    </row>
    <row r="390">
      <c r="A390" t="n">
        <v>382</v>
      </c>
      <c r="B390" t="n">
        <v>0</v>
      </c>
      <c r="C390" t="n">
        <v>0</v>
      </c>
      <c r="D390" t="n">
        <v>588.6709868893362</v>
      </c>
      <c r="E390">
        <f>C390&lt;0.05</f>
        <v/>
      </c>
      <c r="F390">
        <f>A390=$B$5</f>
        <v/>
      </c>
      <c r="G390">
        <f>IF(E390,A390,10^9)</f>
        <v/>
      </c>
      <c r="H390">
        <f>IF(E390,D390,10^9)</f>
        <v/>
      </c>
    </row>
    <row r="391">
      <c r="A391" t="n">
        <v>383</v>
      </c>
      <c r="B391" t="n">
        <v>0</v>
      </c>
      <c r="C391" t="n">
        <v>0</v>
      </c>
      <c r="D391" t="n">
        <v>589.6709868893362</v>
      </c>
      <c r="E391">
        <f>C391&lt;0.05</f>
        <v/>
      </c>
      <c r="F391">
        <f>A391=$B$5</f>
        <v/>
      </c>
      <c r="G391">
        <f>IF(E391,A391,10^9)</f>
        <v/>
      </c>
      <c r="H391">
        <f>IF(E391,D391,10^9)</f>
        <v/>
      </c>
    </row>
    <row r="392">
      <c r="A392" t="n">
        <v>384</v>
      </c>
      <c r="B392" t="n">
        <v>0</v>
      </c>
      <c r="C392" t="n">
        <v>0</v>
      </c>
      <c r="D392" t="n">
        <v>590.6709868893362</v>
      </c>
      <c r="E392">
        <f>C392&lt;0.05</f>
        <v/>
      </c>
      <c r="F392">
        <f>A392=$B$5</f>
        <v/>
      </c>
      <c r="G392">
        <f>IF(E392,A392,10^9)</f>
        <v/>
      </c>
      <c r="H392">
        <f>IF(E392,D392,10^9)</f>
        <v/>
      </c>
    </row>
    <row r="393">
      <c r="A393" t="n">
        <v>385</v>
      </c>
      <c r="B393" t="n">
        <v>0</v>
      </c>
      <c r="C393" t="n">
        <v>0</v>
      </c>
      <c r="D393" t="n">
        <v>591.6709868893362</v>
      </c>
      <c r="E393">
        <f>C393&lt;0.05</f>
        <v/>
      </c>
      <c r="F393">
        <f>A393=$B$5</f>
        <v/>
      </c>
      <c r="G393">
        <f>IF(E393,A393,10^9)</f>
        <v/>
      </c>
      <c r="H393">
        <f>IF(E393,D393,10^9)</f>
        <v/>
      </c>
    </row>
    <row r="394">
      <c r="A394" t="n">
        <v>386</v>
      </c>
      <c r="B394" t="n">
        <v>0</v>
      </c>
      <c r="C394" t="n">
        <v>0</v>
      </c>
      <c r="D394" t="n">
        <v>592.6709868893362</v>
      </c>
      <c r="E394">
        <f>C394&lt;0.05</f>
        <v/>
      </c>
      <c r="F394">
        <f>A394=$B$5</f>
        <v/>
      </c>
      <c r="G394">
        <f>IF(E394,A394,10^9)</f>
        <v/>
      </c>
      <c r="H394">
        <f>IF(E394,D394,10^9)</f>
        <v/>
      </c>
    </row>
    <row r="395">
      <c r="A395" t="n">
        <v>387</v>
      </c>
      <c r="B395" t="n">
        <v>0</v>
      </c>
      <c r="C395" t="n">
        <v>0</v>
      </c>
      <c r="D395" t="n">
        <v>593.6709868893362</v>
      </c>
      <c r="E395">
        <f>C395&lt;0.05</f>
        <v/>
      </c>
      <c r="F395">
        <f>A395=$B$5</f>
        <v/>
      </c>
      <c r="G395">
        <f>IF(E395,A395,10^9)</f>
        <v/>
      </c>
      <c r="H395">
        <f>IF(E395,D395,10^9)</f>
        <v/>
      </c>
    </row>
    <row r="396">
      <c r="A396" t="n">
        <v>388</v>
      </c>
      <c r="B396" t="n">
        <v>0</v>
      </c>
      <c r="C396" t="n">
        <v>0</v>
      </c>
      <c r="D396" t="n">
        <v>594.6709868893362</v>
      </c>
      <c r="E396">
        <f>C396&lt;0.05</f>
        <v/>
      </c>
      <c r="F396">
        <f>A396=$B$5</f>
        <v/>
      </c>
      <c r="G396">
        <f>IF(E396,A396,10^9)</f>
        <v/>
      </c>
      <c r="H396">
        <f>IF(E396,D396,10^9)</f>
        <v/>
      </c>
    </row>
    <row r="397">
      <c r="A397" t="n">
        <v>389</v>
      </c>
      <c r="B397" t="n">
        <v>0</v>
      </c>
      <c r="C397" t="n">
        <v>0</v>
      </c>
      <c r="D397" t="n">
        <v>595.6709868893362</v>
      </c>
      <c r="E397">
        <f>C397&lt;0.05</f>
        <v/>
      </c>
      <c r="F397">
        <f>A397=$B$5</f>
        <v/>
      </c>
      <c r="G397">
        <f>IF(E397,A397,10^9)</f>
        <v/>
      </c>
      <c r="H397">
        <f>IF(E397,D397,10^9)</f>
        <v/>
      </c>
    </row>
    <row r="398">
      <c r="A398" t="n">
        <v>390</v>
      </c>
      <c r="B398" t="n">
        <v>0</v>
      </c>
      <c r="C398" t="n">
        <v>0</v>
      </c>
      <c r="D398" t="n">
        <v>596.6709868893362</v>
      </c>
      <c r="E398">
        <f>C398&lt;0.05</f>
        <v/>
      </c>
      <c r="F398">
        <f>A398=$B$5</f>
        <v/>
      </c>
      <c r="G398">
        <f>IF(E398,A398,10^9)</f>
        <v/>
      </c>
      <c r="H398">
        <f>IF(E398,D398,10^9)</f>
        <v/>
      </c>
    </row>
    <row r="399">
      <c r="A399" t="n">
        <v>391</v>
      </c>
      <c r="B399" t="n">
        <v>0</v>
      </c>
      <c r="C399" t="n">
        <v>0</v>
      </c>
      <c r="D399" t="n">
        <v>597.6709868893362</v>
      </c>
      <c r="E399">
        <f>C399&lt;0.05</f>
        <v/>
      </c>
      <c r="F399">
        <f>A399=$B$5</f>
        <v/>
      </c>
      <c r="G399">
        <f>IF(E399,A399,10^9)</f>
        <v/>
      </c>
      <c r="H399">
        <f>IF(E399,D399,10^9)</f>
        <v/>
      </c>
    </row>
    <row r="400">
      <c r="A400" t="n">
        <v>392</v>
      </c>
      <c r="B400" t="n">
        <v>0</v>
      </c>
      <c r="C400" t="n">
        <v>0</v>
      </c>
      <c r="D400" t="n">
        <v>598.6709868893362</v>
      </c>
      <c r="E400">
        <f>C400&lt;0.05</f>
        <v/>
      </c>
      <c r="F400">
        <f>A400=$B$5</f>
        <v/>
      </c>
      <c r="G400">
        <f>IF(E400,A400,10^9)</f>
        <v/>
      </c>
      <c r="H400">
        <f>IF(E400,D400,10^9)</f>
        <v/>
      </c>
    </row>
    <row r="401">
      <c r="A401" t="n">
        <v>393</v>
      </c>
      <c r="B401" t="n">
        <v>0</v>
      </c>
      <c r="C401" t="n">
        <v>0</v>
      </c>
      <c r="D401" t="n">
        <v>599.6709868893362</v>
      </c>
      <c r="E401">
        <f>C401&lt;0.05</f>
        <v/>
      </c>
      <c r="F401">
        <f>A401=$B$5</f>
        <v/>
      </c>
      <c r="G401">
        <f>IF(E401,A401,10^9)</f>
        <v/>
      </c>
      <c r="H401">
        <f>IF(E401,D401,10^9)</f>
        <v/>
      </c>
    </row>
    <row r="402">
      <c r="A402" t="n">
        <v>394</v>
      </c>
      <c r="B402" t="n">
        <v>0</v>
      </c>
      <c r="C402" t="n">
        <v>0</v>
      </c>
      <c r="D402" t="n">
        <v>600.6709868893362</v>
      </c>
      <c r="E402">
        <f>C402&lt;0.05</f>
        <v/>
      </c>
      <c r="F402">
        <f>A402=$B$5</f>
        <v/>
      </c>
      <c r="G402">
        <f>IF(E402,A402,10^9)</f>
        <v/>
      </c>
      <c r="H402">
        <f>IF(E402,D402,10^9)</f>
        <v/>
      </c>
    </row>
    <row r="403">
      <c r="A403" t="n">
        <v>395</v>
      </c>
      <c r="B403" t="n">
        <v>0</v>
      </c>
      <c r="C403" t="n">
        <v>0</v>
      </c>
      <c r="D403" t="n">
        <v>601.6709868893362</v>
      </c>
      <c r="E403">
        <f>C403&lt;0.05</f>
        <v/>
      </c>
      <c r="F403">
        <f>A403=$B$5</f>
        <v/>
      </c>
      <c r="G403">
        <f>IF(E403,A403,10^9)</f>
        <v/>
      </c>
      <c r="H403">
        <f>IF(E403,D403,10^9)</f>
        <v/>
      </c>
    </row>
    <row r="404">
      <c r="A404" t="n">
        <v>396</v>
      </c>
      <c r="B404" t="n">
        <v>0</v>
      </c>
      <c r="C404" t="n">
        <v>0</v>
      </c>
      <c r="D404" t="n">
        <v>602.6709868893362</v>
      </c>
      <c r="E404">
        <f>C404&lt;0.05</f>
        <v/>
      </c>
      <c r="F404">
        <f>A404=$B$5</f>
        <v/>
      </c>
      <c r="G404">
        <f>IF(E404,A404,10^9)</f>
        <v/>
      </c>
      <c r="H404">
        <f>IF(E404,D404,10^9)</f>
        <v/>
      </c>
    </row>
    <row r="405">
      <c r="A405" t="n">
        <v>397</v>
      </c>
      <c r="B405" t="n">
        <v>0</v>
      </c>
      <c r="C405" t="n">
        <v>0</v>
      </c>
      <c r="D405" t="n">
        <v>603.6709868893362</v>
      </c>
      <c r="E405">
        <f>C405&lt;0.05</f>
        <v/>
      </c>
      <c r="F405">
        <f>A405=$B$5</f>
        <v/>
      </c>
      <c r="G405">
        <f>IF(E405,A405,10^9)</f>
        <v/>
      </c>
      <c r="H405">
        <f>IF(E405,D405,10^9)</f>
        <v/>
      </c>
    </row>
    <row r="406">
      <c r="A406" t="n">
        <v>398</v>
      </c>
      <c r="B406" t="n">
        <v>0</v>
      </c>
      <c r="C406" t="n">
        <v>0</v>
      </c>
      <c r="D406" t="n">
        <v>604.6709868893362</v>
      </c>
      <c r="E406">
        <f>C406&lt;0.05</f>
        <v/>
      </c>
      <c r="F406">
        <f>A406=$B$5</f>
        <v/>
      </c>
      <c r="G406">
        <f>IF(E406,A406,10^9)</f>
        <v/>
      </c>
      <c r="H406">
        <f>IF(E406,D406,10^9)</f>
        <v/>
      </c>
    </row>
    <row r="407">
      <c r="A407" t="n">
        <v>399</v>
      </c>
      <c r="B407" t="n">
        <v>0</v>
      </c>
      <c r="C407" t="n">
        <v>0</v>
      </c>
      <c r="D407" t="n">
        <v>605.6709868893362</v>
      </c>
      <c r="E407">
        <f>C407&lt;0.05</f>
        <v/>
      </c>
      <c r="F407">
        <f>A407=$B$5</f>
        <v/>
      </c>
      <c r="G407">
        <f>IF(E407,A407,10^9)</f>
        <v/>
      </c>
      <c r="H407">
        <f>IF(E407,D407,10^9)</f>
        <v/>
      </c>
    </row>
    <row r="408">
      <c r="A408" t="n">
        <v>400</v>
      </c>
      <c r="B408" t="n">
        <v>0</v>
      </c>
      <c r="C408" t="n">
        <v>0</v>
      </c>
      <c r="D408" t="n">
        <v>606.6709868893362</v>
      </c>
      <c r="E408">
        <f>C408&lt;0.05</f>
        <v/>
      </c>
      <c r="F408">
        <f>A408=$B$5</f>
        <v/>
      </c>
      <c r="G408">
        <f>IF(E408,A408,10^9)</f>
        <v/>
      </c>
      <c r="H408">
        <f>IF(E408,D408,10^9)</f>
        <v/>
      </c>
    </row>
    <row r="409">
      <c r="A409" t="n">
        <v>401</v>
      </c>
      <c r="B409" t="n">
        <v>0</v>
      </c>
      <c r="C409" t="n">
        <v>0</v>
      </c>
      <c r="D409" t="n">
        <v>607.6709868893362</v>
      </c>
      <c r="E409">
        <f>C409&lt;0.05</f>
        <v/>
      </c>
      <c r="F409">
        <f>A409=$B$5</f>
        <v/>
      </c>
      <c r="G409">
        <f>IF(E409,A409,10^9)</f>
        <v/>
      </c>
      <c r="H409">
        <f>IF(E409,D409,10^9)</f>
        <v/>
      </c>
    </row>
    <row r="410">
      <c r="A410" t="n">
        <v>402</v>
      </c>
      <c r="B410" t="n">
        <v>0</v>
      </c>
      <c r="C410" t="n">
        <v>0</v>
      </c>
      <c r="D410" t="n">
        <v>608.6709868893362</v>
      </c>
      <c r="E410">
        <f>C410&lt;0.05</f>
        <v/>
      </c>
      <c r="F410">
        <f>A410=$B$5</f>
        <v/>
      </c>
      <c r="G410">
        <f>IF(E410,A410,10^9)</f>
        <v/>
      </c>
      <c r="H410">
        <f>IF(E410,D410,10^9)</f>
        <v/>
      </c>
    </row>
    <row r="411">
      <c r="A411" t="n">
        <v>403</v>
      </c>
      <c r="B411" t="n">
        <v>0</v>
      </c>
      <c r="C411" t="n">
        <v>0</v>
      </c>
      <c r="D411" t="n">
        <v>609.6709868893362</v>
      </c>
      <c r="E411">
        <f>C411&lt;0.05</f>
        <v/>
      </c>
      <c r="F411">
        <f>A411=$B$5</f>
        <v/>
      </c>
      <c r="G411">
        <f>IF(E411,A411,10^9)</f>
        <v/>
      </c>
      <c r="H411">
        <f>IF(E411,D411,10^9)</f>
        <v/>
      </c>
    </row>
    <row r="412">
      <c r="A412" t="n">
        <v>404</v>
      </c>
      <c r="B412" t="n">
        <v>0</v>
      </c>
      <c r="C412" t="n">
        <v>0</v>
      </c>
      <c r="D412" t="n">
        <v>610.6709868893362</v>
      </c>
      <c r="E412">
        <f>C412&lt;0.05</f>
        <v/>
      </c>
      <c r="F412">
        <f>A412=$B$5</f>
        <v/>
      </c>
      <c r="G412">
        <f>IF(E412,A412,10^9)</f>
        <v/>
      </c>
      <c r="H412">
        <f>IF(E412,D412,10^9)</f>
        <v/>
      </c>
    </row>
    <row r="413">
      <c r="A413" t="n">
        <v>405</v>
      </c>
      <c r="B413" t="n">
        <v>0</v>
      </c>
      <c r="C413" t="n">
        <v>0</v>
      </c>
      <c r="D413" t="n">
        <v>611.6709868893362</v>
      </c>
      <c r="E413">
        <f>C413&lt;0.05</f>
        <v/>
      </c>
      <c r="F413">
        <f>A413=$B$5</f>
        <v/>
      </c>
      <c r="G413">
        <f>IF(E413,A413,10^9)</f>
        <v/>
      </c>
      <c r="H413">
        <f>IF(E413,D413,10^9)</f>
        <v/>
      </c>
    </row>
    <row r="414">
      <c r="A414" t="n">
        <v>406</v>
      </c>
      <c r="B414" t="n">
        <v>0</v>
      </c>
      <c r="C414" t="n">
        <v>0</v>
      </c>
      <c r="D414" t="n">
        <v>612.6709868893362</v>
      </c>
      <c r="E414">
        <f>C414&lt;0.05</f>
        <v/>
      </c>
      <c r="F414">
        <f>A414=$B$5</f>
        <v/>
      </c>
      <c r="G414">
        <f>IF(E414,A414,10^9)</f>
        <v/>
      </c>
      <c r="H414">
        <f>IF(E414,D414,10^9)</f>
        <v/>
      </c>
    </row>
    <row r="415">
      <c r="A415" t="n">
        <v>407</v>
      </c>
      <c r="B415" t="n">
        <v>0</v>
      </c>
      <c r="C415" t="n">
        <v>0</v>
      </c>
      <c r="D415" t="n">
        <v>613.6709868893362</v>
      </c>
      <c r="E415">
        <f>C415&lt;0.05</f>
        <v/>
      </c>
      <c r="F415">
        <f>A415=$B$5</f>
        <v/>
      </c>
      <c r="G415">
        <f>IF(E415,A415,10^9)</f>
        <v/>
      </c>
      <c r="H415">
        <f>IF(E415,D415,10^9)</f>
        <v/>
      </c>
    </row>
    <row r="416">
      <c r="A416" t="n">
        <v>408</v>
      </c>
      <c r="B416" t="n">
        <v>0</v>
      </c>
      <c r="C416" t="n">
        <v>0</v>
      </c>
      <c r="D416" t="n">
        <v>614.6709868893362</v>
      </c>
      <c r="E416">
        <f>C416&lt;0.05</f>
        <v/>
      </c>
      <c r="F416">
        <f>A416=$B$5</f>
        <v/>
      </c>
      <c r="G416">
        <f>IF(E416,A416,10^9)</f>
        <v/>
      </c>
      <c r="H416">
        <f>IF(E416,D416,10^9)</f>
        <v/>
      </c>
    </row>
    <row r="417">
      <c r="A417" t="n">
        <v>409</v>
      </c>
      <c r="B417" t="n">
        <v>0</v>
      </c>
      <c r="C417" t="n">
        <v>0</v>
      </c>
      <c r="D417" t="n">
        <v>615.6709868893362</v>
      </c>
      <c r="E417">
        <f>C417&lt;0.05</f>
        <v/>
      </c>
      <c r="F417">
        <f>A417=$B$5</f>
        <v/>
      </c>
      <c r="G417">
        <f>IF(E417,A417,10^9)</f>
        <v/>
      </c>
      <c r="H417">
        <f>IF(E417,D417,10^9)</f>
        <v/>
      </c>
    </row>
    <row r="418">
      <c r="A418" t="n">
        <v>410</v>
      </c>
      <c r="B418" t="n">
        <v>0</v>
      </c>
      <c r="C418" t="n">
        <v>0</v>
      </c>
      <c r="D418" t="n">
        <v>616.6709868893362</v>
      </c>
      <c r="E418">
        <f>C418&lt;0.05</f>
        <v/>
      </c>
      <c r="F418">
        <f>A418=$B$5</f>
        <v/>
      </c>
      <c r="G418">
        <f>IF(E418,A418,10^9)</f>
        <v/>
      </c>
      <c r="H418">
        <f>IF(E418,D418,10^9)</f>
        <v/>
      </c>
    </row>
    <row r="419">
      <c r="A419" t="n">
        <v>411</v>
      </c>
      <c r="B419" t="n">
        <v>0</v>
      </c>
      <c r="C419" t="n">
        <v>0</v>
      </c>
      <c r="D419" t="n">
        <v>617.6709868893362</v>
      </c>
      <c r="E419">
        <f>C419&lt;0.05</f>
        <v/>
      </c>
      <c r="F419">
        <f>A419=$B$5</f>
        <v/>
      </c>
      <c r="G419">
        <f>IF(E419,A419,10^9)</f>
        <v/>
      </c>
      <c r="H419">
        <f>IF(E419,D419,10^9)</f>
        <v/>
      </c>
    </row>
    <row r="420">
      <c r="A420" t="n">
        <v>412</v>
      </c>
      <c r="B420" t="n">
        <v>0</v>
      </c>
      <c r="C420" t="n">
        <v>0</v>
      </c>
      <c r="D420" t="n">
        <v>618.6709868893362</v>
      </c>
      <c r="E420">
        <f>C420&lt;0.05</f>
        <v/>
      </c>
      <c r="F420">
        <f>A420=$B$5</f>
        <v/>
      </c>
      <c r="G420">
        <f>IF(E420,A420,10^9)</f>
        <v/>
      </c>
      <c r="H420">
        <f>IF(E420,D420,10^9)</f>
        <v/>
      </c>
    </row>
    <row r="421">
      <c r="A421" t="n">
        <v>413</v>
      </c>
      <c r="B421" t="n">
        <v>0</v>
      </c>
      <c r="C421" t="n">
        <v>0</v>
      </c>
      <c r="D421" t="n">
        <v>619.6709868893362</v>
      </c>
      <c r="E421">
        <f>C421&lt;0.05</f>
        <v/>
      </c>
      <c r="F421">
        <f>A421=$B$5</f>
        <v/>
      </c>
      <c r="G421">
        <f>IF(E421,A421,10^9)</f>
        <v/>
      </c>
      <c r="H421">
        <f>IF(E421,D421,10^9)</f>
        <v/>
      </c>
    </row>
    <row r="422">
      <c r="A422" t="n">
        <v>414</v>
      </c>
      <c r="B422" t="n">
        <v>0</v>
      </c>
      <c r="C422" t="n">
        <v>0</v>
      </c>
      <c r="D422" t="n">
        <v>620.6709868893362</v>
      </c>
      <c r="E422">
        <f>C422&lt;0.05</f>
        <v/>
      </c>
      <c r="F422">
        <f>A422=$B$5</f>
        <v/>
      </c>
      <c r="G422">
        <f>IF(E422,A422,10^9)</f>
        <v/>
      </c>
      <c r="H422">
        <f>IF(E422,D422,10^9)</f>
        <v/>
      </c>
    </row>
    <row r="423">
      <c r="A423" t="n">
        <v>415</v>
      </c>
      <c r="B423" t="n">
        <v>0</v>
      </c>
      <c r="C423" t="n">
        <v>0</v>
      </c>
      <c r="D423" t="n">
        <v>621.6709868893362</v>
      </c>
      <c r="E423">
        <f>C423&lt;0.05</f>
        <v/>
      </c>
      <c r="F423">
        <f>A423=$B$5</f>
        <v/>
      </c>
      <c r="G423">
        <f>IF(E423,A423,10^9)</f>
        <v/>
      </c>
      <c r="H423">
        <f>IF(E423,D423,10^9)</f>
        <v/>
      </c>
    </row>
    <row r="424">
      <c r="A424" t="n">
        <v>416</v>
      </c>
      <c r="B424" t="n">
        <v>0</v>
      </c>
      <c r="C424" t="n">
        <v>0</v>
      </c>
      <c r="D424" t="n">
        <v>622.6709868893362</v>
      </c>
      <c r="E424">
        <f>C424&lt;0.05</f>
        <v/>
      </c>
      <c r="F424">
        <f>A424=$B$5</f>
        <v/>
      </c>
      <c r="G424">
        <f>IF(E424,A424,10^9)</f>
        <v/>
      </c>
      <c r="H424">
        <f>IF(E424,D424,10^9)</f>
        <v/>
      </c>
    </row>
    <row r="425">
      <c r="A425" t="n">
        <v>417</v>
      </c>
      <c r="B425" t="n">
        <v>0</v>
      </c>
      <c r="C425" t="n">
        <v>0</v>
      </c>
      <c r="D425" t="n">
        <v>623.6709868893362</v>
      </c>
      <c r="E425">
        <f>C425&lt;0.05</f>
        <v/>
      </c>
      <c r="F425">
        <f>A425=$B$5</f>
        <v/>
      </c>
      <c r="G425">
        <f>IF(E425,A425,10^9)</f>
        <v/>
      </c>
      <c r="H425">
        <f>IF(E425,D425,10^9)</f>
        <v/>
      </c>
    </row>
    <row r="426">
      <c r="A426" t="n">
        <v>418</v>
      </c>
      <c r="B426" t="n">
        <v>0</v>
      </c>
      <c r="C426" t="n">
        <v>0</v>
      </c>
      <c r="D426" t="n">
        <v>624.6709868893362</v>
      </c>
      <c r="E426">
        <f>C426&lt;0.05</f>
        <v/>
      </c>
      <c r="F426">
        <f>A426=$B$5</f>
        <v/>
      </c>
      <c r="G426">
        <f>IF(E426,A426,10^9)</f>
        <v/>
      </c>
      <c r="H426">
        <f>IF(E426,D426,10^9)</f>
        <v/>
      </c>
    </row>
    <row r="427">
      <c r="A427" t="n">
        <v>419</v>
      </c>
      <c r="B427" t="n">
        <v>0</v>
      </c>
      <c r="C427" t="n">
        <v>0</v>
      </c>
      <c r="D427" t="n">
        <v>625.6709868893362</v>
      </c>
      <c r="E427">
        <f>C427&lt;0.05</f>
        <v/>
      </c>
      <c r="F427">
        <f>A427=$B$5</f>
        <v/>
      </c>
      <c r="G427">
        <f>IF(E427,A427,10^9)</f>
        <v/>
      </c>
      <c r="H427">
        <f>IF(E427,D427,10^9)</f>
        <v/>
      </c>
    </row>
    <row r="428">
      <c r="A428" t="n">
        <v>420</v>
      </c>
      <c r="B428" t="n">
        <v>0</v>
      </c>
      <c r="C428" t="n">
        <v>0</v>
      </c>
      <c r="D428" t="n">
        <v>626.6709868893362</v>
      </c>
      <c r="E428">
        <f>C428&lt;0.05</f>
        <v/>
      </c>
      <c r="F428">
        <f>A428=$B$5</f>
        <v/>
      </c>
      <c r="G428">
        <f>IF(E428,A428,10^9)</f>
        <v/>
      </c>
      <c r="H428">
        <f>IF(E428,D428,10^9)</f>
        <v/>
      </c>
    </row>
    <row r="429">
      <c r="A429" t="n">
        <v>421</v>
      </c>
      <c r="B429" t="n">
        <v>0</v>
      </c>
      <c r="C429" t="n">
        <v>0</v>
      </c>
      <c r="D429" t="n">
        <v>627.6709868893362</v>
      </c>
      <c r="E429">
        <f>C429&lt;0.05</f>
        <v/>
      </c>
      <c r="F429">
        <f>A429=$B$5</f>
        <v/>
      </c>
      <c r="G429">
        <f>IF(E429,A429,10^9)</f>
        <v/>
      </c>
      <c r="H429">
        <f>IF(E429,D429,10^9)</f>
        <v/>
      </c>
    </row>
    <row r="430">
      <c r="A430" t="n">
        <v>422</v>
      </c>
      <c r="B430" t="n">
        <v>0</v>
      </c>
      <c r="C430" t="n">
        <v>0</v>
      </c>
      <c r="D430" t="n">
        <v>628.6709868893362</v>
      </c>
      <c r="E430">
        <f>C430&lt;0.05</f>
        <v/>
      </c>
      <c r="F430">
        <f>A430=$B$5</f>
        <v/>
      </c>
      <c r="G430">
        <f>IF(E430,A430,10^9)</f>
        <v/>
      </c>
      <c r="H430">
        <f>IF(E430,D430,10^9)</f>
        <v/>
      </c>
    </row>
    <row r="431">
      <c r="A431" t="n">
        <v>423</v>
      </c>
      <c r="B431" t="n">
        <v>0</v>
      </c>
      <c r="C431" t="n">
        <v>0</v>
      </c>
      <c r="D431" t="n">
        <v>629.6709868893362</v>
      </c>
      <c r="E431">
        <f>C431&lt;0.05</f>
        <v/>
      </c>
      <c r="F431">
        <f>A431=$B$5</f>
        <v/>
      </c>
      <c r="G431">
        <f>IF(E431,A431,10^9)</f>
        <v/>
      </c>
      <c r="H431">
        <f>IF(E431,D431,10^9)</f>
        <v/>
      </c>
    </row>
    <row r="432">
      <c r="A432" t="n">
        <v>424</v>
      </c>
      <c r="B432" t="n">
        <v>0</v>
      </c>
      <c r="C432" t="n">
        <v>0</v>
      </c>
      <c r="D432" t="n">
        <v>630.6709868893362</v>
      </c>
      <c r="E432">
        <f>C432&lt;0.05</f>
        <v/>
      </c>
      <c r="F432">
        <f>A432=$B$5</f>
        <v/>
      </c>
      <c r="G432">
        <f>IF(E432,A432,10^9)</f>
        <v/>
      </c>
      <c r="H432">
        <f>IF(E432,D432,10^9)</f>
        <v/>
      </c>
    </row>
    <row r="433">
      <c r="A433" t="n">
        <v>425</v>
      </c>
      <c r="B433" t="n">
        <v>0</v>
      </c>
      <c r="C433" t="n">
        <v>0</v>
      </c>
      <c r="D433" t="n">
        <v>631.6709868893362</v>
      </c>
      <c r="E433">
        <f>C433&lt;0.05</f>
        <v/>
      </c>
      <c r="F433">
        <f>A433=$B$5</f>
        <v/>
      </c>
      <c r="G433">
        <f>IF(E433,A433,10^9)</f>
        <v/>
      </c>
      <c r="H433">
        <f>IF(E433,D433,10^9)</f>
        <v/>
      </c>
    </row>
    <row r="434">
      <c r="A434" t="n">
        <v>426</v>
      </c>
      <c r="B434" t="n">
        <v>0</v>
      </c>
      <c r="C434" t="n">
        <v>0</v>
      </c>
      <c r="D434" t="n">
        <v>632.6709868893362</v>
      </c>
      <c r="E434">
        <f>C434&lt;0.05</f>
        <v/>
      </c>
      <c r="F434">
        <f>A434=$B$5</f>
        <v/>
      </c>
      <c r="G434">
        <f>IF(E434,A434,10^9)</f>
        <v/>
      </c>
      <c r="H434">
        <f>IF(E434,D434,10^9)</f>
        <v/>
      </c>
    </row>
    <row r="435">
      <c r="A435" t="n">
        <v>427</v>
      </c>
      <c r="B435" t="n">
        <v>0</v>
      </c>
      <c r="C435" t="n">
        <v>0</v>
      </c>
      <c r="D435" t="n">
        <v>633.6709868893362</v>
      </c>
      <c r="E435">
        <f>C435&lt;0.05</f>
        <v/>
      </c>
      <c r="F435">
        <f>A435=$B$5</f>
        <v/>
      </c>
      <c r="G435">
        <f>IF(E435,A435,10^9)</f>
        <v/>
      </c>
      <c r="H435">
        <f>IF(E435,D435,10^9)</f>
        <v/>
      </c>
    </row>
    <row r="436">
      <c r="A436" t="n">
        <v>428</v>
      </c>
      <c r="B436" t="n">
        <v>0</v>
      </c>
      <c r="C436" t="n">
        <v>0</v>
      </c>
      <c r="D436" t="n">
        <v>634.6709868893361</v>
      </c>
      <c r="E436">
        <f>C436&lt;0.05</f>
        <v/>
      </c>
      <c r="F436">
        <f>A436=$B$5</f>
        <v/>
      </c>
      <c r="G436">
        <f>IF(E436,A436,10^9)</f>
        <v/>
      </c>
      <c r="H436">
        <f>IF(E436,D436,10^9)</f>
        <v/>
      </c>
    </row>
    <row r="437">
      <c r="A437" t="n">
        <v>429</v>
      </c>
      <c r="B437" t="n">
        <v>0</v>
      </c>
      <c r="C437" t="n">
        <v>0</v>
      </c>
      <c r="D437" t="n">
        <v>635.6709868893361</v>
      </c>
      <c r="E437">
        <f>C437&lt;0.05</f>
        <v/>
      </c>
      <c r="F437">
        <f>A437=$B$5</f>
        <v/>
      </c>
      <c r="G437">
        <f>IF(E437,A437,10^9)</f>
        <v/>
      </c>
      <c r="H437">
        <f>IF(E437,D437,10^9)</f>
        <v/>
      </c>
    </row>
    <row r="438">
      <c r="A438" t="n">
        <v>430</v>
      </c>
      <c r="B438" t="n">
        <v>0</v>
      </c>
      <c r="C438" t="n">
        <v>0</v>
      </c>
      <c r="D438" t="n">
        <v>636.6709868893361</v>
      </c>
      <c r="E438">
        <f>C438&lt;0.05</f>
        <v/>
      </c>
      <c r="F438">
        <f>A438=$B$5</f>
        <v/>
      </c>
      <c r="G438">
        <f>IF(E438,A438,10^9)</f>
        <v/>
      </c>
      <c r="H438">
        <f>IF(E438,D438,10^9)</f>
        <v/>
      </c>
    </row>
    <row r="439">
      <c r="A439" t="n">
        <v>431</v>
      </c>
      <c r="B439" t="n">
        <v>0</v>
      </c>
      <c r="C439" t="n">
        <v>0</v>
      </c>
      <c r="D439" t="n">
        <v>637.6709868893361</v>
      </c>
      <c r="E439">
        <f>C439&lt;0.05</f>
        <v/>
      </c>
      <c r="F439">
        <f>A439=$B$5</f>
        <v/>
      </c>
      <c r="G439">
        <f>IF(E439,A439,10^9)</f>
        <v/>
      </c>
      <c r="H439">
        <f>IF(E439,D439,10^9)</f>
        <v/>
      </c>
    </row>
    <row r="440">
      <c r="A440" t="n">
        <v>432</v>
      </c>
      <c r="B440" t="n">
        <v>0</v>
      </c>
      <c r="C440" t="n">
        <v>0</v>
      </c>
      <c r="D440" t="n">
        <v>638.6709868893361</v>
      </c>
      <c r="E440">
        <f>C440&lt;0.05</f>
        <v/>
      </c>
      <c r="F440">
        <f>A440=$B$5</f>
        <v/>
      </c>
      <c r="G440">
        <f>IF(E440,A440,10^9)</f>
        <v/>
      </c>
      <c r="H440">
        <f>IF(E440,D440,10^9)</f>
        <v/>
      </c>
    </row>
    <row r="441">
      <c r="A441" t="n">
        <v>433</v>
      </c>
      <c r="B441" t="n">
        <v>0</v>
      </c>
      <c r="C441" t="n">
        <v>0</v>
      </c>
      <c r="D441" t="n">
        <v>639.6709868893361</v>
      </c>
      <c r="E441">
        <f>C441&lt;0.05</f>
        <v/>
      </c>
      <c r="F441">
        <f>A441=$B$5</f>
        <v/>
      </c>
      <c r="G441">
        <f>IF(E441,A441,10^9)</f>
        <v/>
      </c>
      <c r="H441">
        <f>IF(E441,D441,10^9)</f>
        <v/>
      </c>
    </row>
    <row r="442">
      <c r="A442" t="n">
        <v>434</v>
      </c>
      <c r="B442" t="n">
        <v>0</v>
      </c>
      <c r="C442" t="n">
        <v>0</v>
      </c>
      <c r="D442" t="n">
        <v>640.6709868893361</v>
      </c>
      <c r="E442">
        <f>C442&lt;0.05</f>
        <v/>
      </c>
      <c r="F442">
        <f>A442=$B$5</f>
        <v/>
      </c>
      <c r="G442">
        <f>IF(E442,A442,10^9)</f>
        <v/>
      </c>
      <c r="H442">
        <f>IF(E442,D442,10^9)</f>
        <v/>
      </c>
    </row>
    <row r="443">
      <c r="A443" t="n">
        <v>435</v>
      </c>
      <c r="B443" t="n">
        <v>0</v>
      </c>
      <c r="C443" t="n">
        <v>0</v>
      </c>
      <c r="D443" t="n">
        <v>641.6709868893361</v>
      </c>
      <c r="E443">
        <f>C443&lt;0.05</f>
        <v/>
      </c>
      <c r="F443">
        <f>A443=$B$5</f>
        <v/>
      </c>
      <c r="G443">
        <f>IF(E443,A443,10^9)</f>
        <v/>
      </c>
      <c r="H443">
        <f>IF(E443,D443,10^9)</f>
        <v/>
      </c>
    </row>
    <row r="444">
      <c r="A444" t="n">
        <v>436</v>
      </c>
      <c r="B444" t="n">
        <v>0</v>
      </c>
      <c r="C444" t="n">
        <v>0</v>
      </c>
      <c r="D444" t="n">
        <v>642.6709868893361</v>
      </c>
      <c r="E444">
        <f>C444&lt;0.05</f>
        <v/>
      </c>
      <c r="F444">
        <f>A444=$B$5</f>
        <v/>
      </c>
      <c r="G444">
        <f>IF(E444,A444,10^9)</f>
        <v/>
      </c>
      <c r="H444">
        <f>IF(E444,D444,10^9)</f>
        <v/>
      </c>
    </row>
    <row r="445">
      <c r="A445" t="n">
        <v>437</v>
      </c>
      <c r="B445" t="n">
        <v>0</v>
      </c>
      <c r="C445" t="n">
        <v>0</v>
      </c>
      <c r="D445" t="n">
        <v>643.6709868893361</v>
      </c>
      <c r="E445">
        <f>C445&lt;0.05</f>
        <v/>
      </c>
      <c r="F445">
        <f>A445=$B$5</f>
        <v/>
      </c>
      <c r="G445">
        <f>IF(E445,A445,10^9)</f>
        <v/>
      </c>
      <c r="H445">
        <f>IF(E445,D445,10^9)</f>
        <v/>
      </c>
    </row>
    <row r="446">
      <c r="A446" t="n">
        <v>438</v>
      </c>
      <c r="B446" t="n">
        <v>0</v>
      </c>
      <c r="C446" t="n">
        <v>0</v>
      </c>
      <c r="D446" t="n">
        <v>644.6709868893361</v>
      </c>
      <c r="E446">
        <f>C446&lt;0.05</f>
        <v/>
      </c>
      <c r="F446">
        <f>A446=$B$5</f>
        <v/>
      </c>
      <c r="G446">
        <f>IF(E446,A446,10^9)</f>
        <v/>
      </c>
      <c r="H446">
        <f>IF(E446,D446,10^9)</f>
        <v/>
      </c>
    </row>
    <row r="447">
      <c r="A447" t="n">
        <v>439</v>
      </c>
      <c r="B447" t="n">
        <v>0</v>
      </c>
      <c r="C447" t="n">
        <v>0</v>
      </c>
      <c r="D447" t="n">
        <v>645.6709868893361</v>
      </c>
      <c r="E447">
        <f>C447&lt;0.05</f>
        <v/>
      </c>
      <c r="F447">
        <f>A447=$B$5</f>
        <v/>
      </c>
      <c r="G447">
        <f>IF(E447,A447,10^9)</f>
        <v/>
      </c>
      <c r="H447">
        <f>IF(E447,D447,10^9)</f>
        <v/>
      </c>
    </row>
    <row r="448">
      <c r="A448" t="n">
        <v>440</v>
      </c>
      <c r="B448" t="n">
        <v>0</v>
      </c>
      <c r="C448" t="n">
        <v>0</v>
      </c>
      <c r="D448" t="n">
        <v>646.6709868893361</v>
      </c>
      <c r="E448">
        <f>C448&lt;0.05</f>
        <v/>
      </c>
      <c r="F448">
        <f>A448=$B$5</f>
        <v/>
      </c>
      <c r="G448">
        <f>IF(E448,A448,10^9)</f>
        <v/>
      </c>
      <c r="H448">
        <f>IF(E448,D448,10^9)</f>
        <v/>
      </c>
    </row>
    <row r="449">
      <c r="A449" t="n">
        <v>441</v>
      </c>
      <c r="B449" t="n">
        <v>0</v>
      </c>
      <c r="C449" t="n">
        <v>0</v>
      </c>
      <c r="D449" t="n">
        <v>647.6709868893361</v>
      </c>
      <c r="E449">
        <f>C449&lt;0.05</f>
        <v/>
      </c>
      <c r="F449">
        <f>A449=$B$5</f>
        <v/>
      </c>
      <c r="G449">
        <f>IF(E449,A449,10^9)</f>
        <v/>
      </c>
      <c r="H449">
        <f>IF(E449,D449,10^9)</f>
        <v/>
      </c>
    </row>
    <row r="450">
      <c r="A450" t="n">
        <v>442</v>
      </c>
      <c r="B450" t="n">
        <v>0</v>
      </c>
      <c r="C450" t="n">
        <v>0</v>
      </c>
      <c r="D450" t="n">
        <v>648.6709868893361</v>
      </c>
      <c r="E450">
        <f>C450&lt;0.05</f>
        <v/>
      </c>
      <c r="F450">
        <f>A450=$B$5</f>
        <v/>
      </c>
      <c r="G450">
        <f>IF(E450,A450,10^9)</f>
        <v/>
      </c>
      <c r="H450">
        <f>IF(E450,D450,10^9)</f>
        <v/>
      </c>
    </row>
    <row r="451">
      <c r="A451" t="n">
        <v>443</v>
      </c>
      <c r="B451" t="n">
        <v>0</v>
      </c>
      <c r="C451" t="n">
        <v>0</v>
      </c>
      <c r="D451" t="n">
        <v>649.6709868893361</v>
      </c>
      <c r="E451">
        <f>C451&lt;0.05</f>
        <v/>
      </c>
      <c r="F451">
        <f>A451=$B$5</f>
        <v/>
      </c>
      <c r="G451">
        <f>IF(E451,A451,10^9)</f>
        <v/>
      </c>
      <c r="H451">
        <f>IF(E451,D451,10^9)</f>
        <v/>
      </c>
    </row>
    <row r="452">
      <c r="A452" t="n">
        <v>444</v>
      </c>
      <c r="B452" t="n">
        <v>0</v>
      </c>
      <c r="C452" t="n">
        <v>0</v>
      </c>
      <c r="D452" t="n">
        <v>650.6709868893361</v>
      </c>
      <c r="E452">
        <f>C452&lt;0.05</f>
        <v/>
      </c>
      <c r="F452">
        <f>A452=$B$5</f>
        <v/>
      </c>
      <c r="G452">
        <f>IF(E452,A452,10^9)</f>
        <v/>
      </c>
      <c r="H452">
        <f>IF(E452,D452,10^9)</f>
        <v/>
      </c>
    </row>
    <row r="453">
      <c r="A453" t="n">
        <v>445</v>
      </c>
      <c r="B453" t="n">
        <v>0</v>
      </c>
      <c r="C453" t="n">
        <v>0</v>
      </c>
      <c r="D453" t="n">
        <v>651.6709868893361</v>
      </c>
      <c r="E453">
        <f>C453&lt;0.05</f>
        <v/>
      </c>
      <c r="F453">
        <f>A453=$B$5</f>
        <v/>
      </c>
      <c r="G453">
        <f>IF(E453,A453,10^9)</f>
        <v/>
      </c>
      <c r="H453">
        <f>IF(E453,D453,10^9)</f>
        <v/>
      </c>
    </row>
    <row r="454">
      <c r="A454" t="n">
        <v>446</v>
      </c>
      <c r="B454" t="n">
        <v>0</v>
      </c>
      <c r="C454" t="n">
        <v>0</v>
      </c>
      <c r="D454" t="n">
        <v>652.6709868893361</v>
      </c>
      <c r="E454">
        <f>C454&lt;0.05</f>
        <v/>
      </c>
      <c r="F454">
        <f>A454=$B$5</f>
        <v/>
      </c>
      <c r="G454">
        <f>IF(E454,A454,10^9)</f>
        <v/>
      </c>
      <c r="H454">
        <f>IF(E454,D454,10^9)</f>
        <v/>
      </c>
    </row>
    <row r="455">
      <c r="A455" t="n">
        <v>447</v>
      </c>
      <c r="B455" t="n">
        <v>0</v>
      </c>
      <c r="C455" t="n">
        <v>0</v>
      </c>
      <c r="D455" t="n">
        <v>653.6709868893361</v>
      </c>
      <c r="E455">
        <f>C455&lt;0.05</f>
        <v/>
      </c>
      <c r="F455">
        <f>A455=$B$5</f>
        <v/>
      </c>
      <c r="G455">
        <f>IF(E455,A455,10^9)</f>
        <v/>
      </c>
      <c r="H455">
        <f>IF(E455,D455,10^9)</f>
        <v/>
      </c>
    </row>
    <row r="456">
      <c r="A456" t="n">
        <v>448</v>
      </c>
      <c r="B456" t="n">
        <v>0</v>
      </c>
      <c r="C456" t="n">
        <v>0</v>
      </c>
      <c r="D456" t="n">
        <v>654.6709868893361</v>
      </c>
      <c r="E456">
        <f>C456&lt;0.05</f>
        <v/>
      </c>
      <c r="F456">
        <f>A456=$B$5</f>
        <v/>
      </c>
      <c r="G456">
        <f>IF(E456,A456,10^9)</f>
        <v/>
      </c>
      <c r="H456">
        <f>IF(E456,D456,10^9)</f>
        <v/>
      </c>
    </row>
    <row r="457">
      <c r="A457" t="n">
        <v>449</v>
      </c>
      <c r="B457" t="n">
        <v>0</v>
      </c>
      <c r="C457" t="n">
        <v>0</v>
      </c>
      <c r="D457" t="n">
        <v>655.6709868893361</v>
      </c>
      <c r="E457">
        <f>C457&lt;0.05</f>
        <v/>
      </c>
      <c r="F457">
        <f>A457=$B$5</f>
        <v/>
      </c>
      <c r="G457">
        <f>IF(E457,A457,10^9)</f>
        <v/>
      </c>
      <c r="H457">
        <f>IF(E457,D457,10^9)</f>
        <v/>
      </c>
    </row>
    <row r="458">
      <c r="A458" t="n">
        <v>450</v>
      </c>
      <c r="B458" t="n">
        <v>0</v>
      </c>
      <c r="C458" t="n">
        <v>0</v>
      </c>
      <c r="D458" t="n">
        <v>656.6709868893361</v>
      </c>
      <c r="E458">
        <f>C458&lt;0.05</f>
        <v/>
      </c>
      <c r="F458">
        <f>A458=$B$5</f>
        <v/>
      </c>
      <c r="G458">
        <f>IF(E458,A458,10^9)</f>
        <v/>
      </c>
      <c r="H458">
        <f>IF(E458,D458,10^9)</f>
        <v/>
      </c>
    </row>
    <row r="459">
      <c r="A459" t="n">
        <v>451</v>
      </c>
      <c r="B459" t="n">
        <v>0</v>
      </c>
      <c r="C459" t="n">
        <v>0</v>
      </c>
      <c r="D459" t="n">
        <v>657.6709868893361</v>
      </c>
      <c r="E459">
        <f>C459&lt;0.05</f>
        <v/>
      </c>
      <c r="F459">
        <f>A459=$B$5</f>
        <v/>
      </c>
      <c r="G459">
        <f>IF(E459,A459,10^9)</f>
        <v/>
      </c>
      <c r="H459">
        <f>IF(E459,D459,10^9)</f>
        <v/>
      </c>
    </row>
    <row r="460">
      <c r="A460" t="n">
        <v>452</v>
      </c>
      <c r="B460" t="n">
        <v>0</v>
      </c>
      <c r="C460" t="n">
        <v>0</v>
      </c>
      <c r="D460" t="n">
        <v>658.6709868893361</v>
      </c>
      <c r="E460">
        <f>C460&lt;0.05</f>
        <v/>
      </c>
      <c r="F460">
        <f>A460=$B$5</f>
        <v/>
      </c>
      <c r="G460">
        <f>IF(E460,A460,10^9)</f>
        <v/>
      </c>
      <c r="H460">
        <f>IF(E460,D460,10^9)</f>
        <v/>
      </c>
    </row>
    <row r="461">
      <c r="A461" t="n">
        <v>453</v>
      </c>
      <c r="B461" t="n">
        <v>0</v>
      </c>
      <c r="C461" t="n">
        <v>0</v>
      </c>
      <c r="D461" t="n">
        <v>659.6709868893361</v>
      </c>
      <c r="E461">
        <f>C461&lt;0.05</f>
        <v/>
      </c>
      <c r="F461">
        <f>A461=$B$5</f>
        <v/>
      </c>
      <c r="G461">
        <f>IF(E461,A461,10^9)</f>
        <v/>
      </c>
      <c r="H461">
        <f>IF(E461,D461,10^9)</f>
        <v/>
      </c>
    </row>
    <row r="462">
      <c r="A462" t="n">
        <v>454</v>
      </c>
      <c r="B462" t="n">
        <v>0</v>
      </c>
      <c r="C462" t="n">
        <v>0</v>
      </c>
      <c r="D462" t="n">
        <v>660.6709868893361</v>
      </c>
      <c r="E462">
        <f>C462&lt;0.05</f>
        <v/>
      </c>
      <c r="F462">
        <f>A462=$B$5</f>
        <v/>
      </c>
      <c r="G462">
        <f>IF(E462,A462,10^9)</f>
        <v/>
      </c>
      <c r="H462">
        <f>IF(E462,D462,10^9)</f>
        <v/>
      </c>
    </row>
    <row r="463">
      <c r="A463" t="n">
        <v>455</v>
      </c>
      <c r="B463" t="n">
        <v>0</v>
      </c>
      <c r="C463" t="n">
        <v>0</v>
      </c>
      <c r="D463" t="n">
        <v>661.6709868893361</v>
      </c>
      <c r="E463">
        <f>C463&lt;0.05</f>
        <v/>
      </c>
      <c r="F463">
        <f>A463=$B$5</f>
        <v/>
      </c>
      <c r="G463">
        <f>IF(E463,A463,10^9)</f>
        <v/>
      </c>
      <c r="H463">
        <f>IF(E463,D463,10^9)</f>
        <v/>
      </c>
    </row>
    <row r="464">
      <c r="A464" t="n">
        <v>456</v>
      </c>
      <c r="B464" t="n">
        <v>0</v>
      </c>
      <c r="C464" t="n">
        <v>0</v>
      </c>
      <c r="D464" t="n">
        <v>662.6709868893361</v>
      </c>
      <c r="E464">
        <f>C464&lt;0.05</f>
        <v/>
      </c>
      <c r="F464">
        <f>A464=$B$5</f>
        <v/>
      </c>
      <c r="G464">
        <f>IF(E464,A464,10^9)</f>
        <v/>
      </c>
      <c r="H464">
        <f>IF(E464,D464,10^9)</f>
        <v/>
      </c>
    </row>
    <row r="465">
      <c r="A465" t="n">
        <v>457</v>
      </c>
      <c r="B465" t="n">
        <v>0</v>
      </c>
      <c r="C465" t="n">
        <v>0</v>
      </c>
      <c r="D465" t="n">
        <v>663.6709868893361</v>
      </c>
      <c r="E465">
        <f>C465&lt;0.05</f>
        <v/>
      </c>
      <c r="F465">
        <f>A465=$B$5</f>
        <v/>
      </c>
      <c r="G465">
        <f>IF(E465,A465,10^9)</f>
        <v/>
      </c>
      <c r="H465">
        <f>IF(E465,D465,10^9)</f>
        <v/>
      </c>
    </row>
    <row r="466">
      <c r="A466" t="n">
        <v>458</v>
      </c>
      <c r="B466" t="n">
        <v>0</v>
      </c>
      <c r="C466" t="n">
        <v>0</v>
      </c>
      <c r="D466" t="n">
        <v>664.6709868893361</v>
      </c>
      <c r="E466">
        <f>C466&lt;0.05</f>
        <v/>
      </c>
      <c r="F466">
        <f>A466=$B$5</f>
        <v/>
      </c>
      <c r="G466">
        <f>IF(E466,A466,10^9)</f>
        <v/>
      </c>
      <c r="H466">
        <f>IF(E466,D466,10^9)</f>
        <v/>
      </c>
    </row>
    <row r="467">
      <c r="A467" t="n">
        <v>459</v>
      </c>
      <c r="B467" t="n">
        <v>0</v>
      </c>
      <c r="C467" t="n">
        <v>0</v>
      </c>
      <c r="D467" t="n">
        <v>665.6709868893361</v>
      </c>
      <c r="E467">
        <f>C467&lt;0.05</f>
        <v/>
      </c>
      <c r="F467">
        <f>A467=$B$5</f>
        <v/>
      </c>
      <c r="G467">
        <f>IF(E467,A467,10^9)</f>
        <v/>
      </c>
      <c r="H467">
        <f>IF(E467,D467,10^9)</f>
        <v/>
      </c>
    </row>
    <row r="468">
      <c r="A468" t="n">
        <v>460</v>
      </c>
      <c r="B468" t="n">
        <v>0</v>
      </c>
      <c r="C468" t="n">
        <v>0</v>
      </c>
      <c r="D468" t="n">
        <v>666.6709868893361</v>
      </c>
      <c r="E468">
        <f>C468&lt;0.05</f>
        <v/>
      </c>
      <c r="F468">
        <f>A468=$B$5</f>
        <v/>
      </c>
      <c r="G468">
        <f>IF(E468,A468,10^9)</f>
        <v/>
      </c>
      <c r="H468">
        <f>IF(E468,D468,10^9)</f>
        <v/>
      </c>
    </row>
    <row r="469">
      <c r="A469" t="n">
        <v>461</v>
      </c>
      <c r="B469" t="n">
        <v>0</v>
      </c>
      <c r="C469" t="n">
        <v>0</v>
      </c>
      <c r="D469" t="n">
        <v>667.6709868893361</v>
      </c>
      <c r="E469">
        <f>C469&lt;0.05</f>
        <v/>
      </c>
      <c r="F469">
        <f>A469=$B$5</f>
        <v/>
      </c>
      <c r="G469">
        <f>IF(E469,A469,10^9)</f>
        <v/>
      </c>
      <c r="H469">
        <f>IF(E469,D469,10^9)</f>
        <v/>
      </c>
    </row>
    <row r="470">
      <c r="A470" t="n">
        <v>462</v>
      </c>
      <c r="B470" t="n">
        <v>0</v>
      </c>
      <c r="C470" t="n">
        <v>0</v>
      </c>
      <c r="D470" t="n">
        <v>668.6709868893361</v>
      </c>
      <c r="E470">
        <f>C470&lt;0.05</f>
        <v/>
      </c>
      <c r="F470">
        <f>A470=$B$5</f>
        <v/>
      </c>
      <c r="G470">
        <f>IF(E470,A470,10^9)</f>
        <v/>
      </c>
      <c r="H470">
        <f>IF(E470,D470,10^9)</f>
        <v/>
      </c>
    </row>
    <row r="471">
      <c r="A471" t="n">
        <v>463</v>
      </c>
      <c r="B471" t="n">
        <v>0</v>
      </c>
      <c r="C471" t="n">
        <v>0</v>
      </c>
      <c r="D471" t="n">
        <v>669.6709868893361</v>
      </c>
      <c r="E471">
        <f>C471&lt;0.05</f>
        <v/>
      </c>
      <c r="F471">
        <f>A471=$B$5</f>
        <v/>
      </c>
      <c r="G471">
        <f>IF(E471,A471,10^9)</f>
        <v/>
      </c>
      <c r="H471">
        <f>IF(E471,D471,10^9)</f>
        <v/>
      </c>
    </row>
    <row r="472">
      <c r="A472" t="n">
        <v>464</v>
      </c>
      <c r="B472" t="n">
        <v>0</v>
      </c>
      <c r="C472" t="n">
        <v>0</v>
      </c>
      <c r="D472" t="n">
        <v>670.6709868893361</v>
      </c>
      <c r="E472">
        <f>C472&lt;0.05</f>
        <v/>
      </c>
      <c r="F472">
        <f>A472=$B$5</f>
        <v/>
      </c>
      <c r="G472">
        <f>IF(E472,A472,10^9)</f>
        <v/>
      </c>
      <c r="H472">
        <f>IF(E472,D472,10^9)</f>
        <v/>
      </c>
    </row>
    <row r="473">
      <c r="A473" t="n">
        <v>465</v>
      </c>
      <c r="B473" t="n">
        <v>0</v>
      </c>
      <c r="C473" t="n">
        <v>0</v>
      </c>
      <c r="D473" t="n">
        <v>671.6709868893361</v>
      </c>
      <c r="E473">
        <f>C473&lt;0.05</f>
        <v/>
      </c>
      <c r="F473">
        <f>A473=$B$5</f>
        <v/>
      </c>
      <c r="G473">
        <f>IF(E473,A473,10^9)</f>
        <v/>
      </c>
      <c r="H473">
        <f>IF(E473,D473,10^9)</f>
        <v/>
      </c>
    </row>
    <row r="474">
      <c r="A474" t="n">
        <v>466</v>
      </c>
      <c r="B474" t="n">
        <v>0</v>
      </c>
      <c r="C474" t="n">
        <v>0</v>
      </c>
      <c r="D474" t="n">
        <v>672.6709868893361</v>
      </c>
      <c r="E474">
        <f>C474&lt;0.05</f>
        <v/>
      </c>
      <c r="F474">
        <f>A474=$B$5</f>
        <v/>
      </c>
      <c r="G474">
        <f>IF(E474,A474,10^9)</f>
        <v/>
      </c>
      <c r="H474">
        <f>IF(E474,D474,10^9)</f>
        <v/>
      </c>
    </row>
    <row r="475">
      <c r="A475" t="n">
        <v>467</v>
      </c>
      <c r="B475" t="n">
        <v>0</v>
      </c>
      <c r="C475" t="n">
        <v>0</v>
      </c>
      <c r="D475" t="n">
        <v>673.6709868893361</v>
      </c>
      <c r="E475">
        <f>C475&lt;0.05</f>
        <v/>
      </c>
      <c r="F475">
        <f>A475=$B$5</f>
        <v/>
      </c>
      <c r="G475">
        <f>IF(E475,A475,10^9)</f>
        <v/>
      </c>
      <c r="H475">
        <f>IF(E475,D475,10^9)</f>
        <v/>
      </c>
    </row>
    <row r="476">
      <c r="A476" t="n">
        <v>468</v>
      </c>
      <c r="B476" t="n">
        <v>0</v>
      </c>
      <c r="C476" t="n">
        <v>0</v>
      </c>
      <c r="D476" t="n">
        <v>674.6709868893361</v>
      </c>
      <c r="E476">
        <f>C476&lt;0.05</f>
        <v/>
      </c>
      <c r="F476">
        <f>A476=$B$5</f>
        <v/>
      </c>
      <c r="G476">
        <f>IF(E476,A476,10^9)</f>
        <v/>
      </c>
      <c r="H476">
        <f>IF(E476,D476,10^9)</f>
        <v/>
      </c>
    </row>
    <row r="477">
      <c r="A477" t="n">
        <v>469</v>
      </c>
      <c r="B477" t="n">
        <v>0</v>
      </c>
      <c r="C477" t="n">
        <v>0</v>
      </c>
      <c r="D477" t="n">
        <v>675.6709868893361</v>
      </c>
      <c r="E477">
        <f>C477&lt;0.05</f>
        <v/>
      </c>
      <c r="F477">
        <f>A477=$B$5</f>
        <v/>
      </c>
      <c r="G477">
        <f>IF(E477,A477,10^9)</f>
        <v/>
      </c>
      <c r="H477">
        <f>IF(E477,D477,10^9)</f>
        <v/>
      </c>
    </row>
    <row r="478">
      <c r="A478" t="n">
        <v>470</v>
      </c>
      <c r="B478" t="n">
        <v>0</v>
      </c>
      <c r="C478" t="n">
        <v>0</v>
      </c>
      <c r="D478" t="n">
        <v>676.6709868893361</v>
      </c>
      <c r="E478">
        <f>C478&lt;0.05</f>
        <v/>
      </c>
      <c r="F478">
        <f>A478=$B$5</f>
        <v/>
      </c>
      <c r="G478">
        <f>IF(E478,A478,10^9)</f>
        <v/>
      </c>
      <c r="H478">
        <f>IF(E478,D478,10^9)</f>
        <v/>
      </c>
    </row>
    <row r="479">
      <c r="A479" t="n">
        <v>471</v>
      </c>
      <c r="B479" t="n">
        <v>0</v>
      </c>
      <c r="C479" t="n">
        <v>0</v>
      </c>
      <c r="D479" t="n">
        <v>677.6709868893361</v>
      </c>
      <c r="E479">
        <f>C479&lt;0.05</f>
        <v/>
      </c>
      <c r="F479">
        <f>A479=$B$5</f>
        <v/>
      </c>
      <c r="G479">
        <f>IF(E479,A479,10^9)</f>
        <v/>
      </c>
      <c r="H479">
        <f>IF(E479,D479,10^9)</f>
        <v/>
      </c>
    </row>
    <row r="480">
      <c r="A480" t="n">
        <v>472</v>
      </c>
      <c r="B480" t="n">
        <v>0</v>
      </c>
      <c r="C480" t="n">
        <v>0</v>
      </c>
      <c r="D480" t="n">
        <v>678.6709868893361</v>
      </c>
      <c r="E480">
        <f>C480&lt;0.05</f>
        <v/>
      </c>
      <c r="F480">
        <f>A480=$B$5</f>
        <v/>
      </c>
      <c r="G480">
        <f>IF(E480,A480,10^9)</f>
        <v/>
      </c>
      <c r="H480">
        <f>IF(E480,D480,10^9)</f>
        <v/>
      </c>
    </row>
    <row r="481">
      <c r="A481" t="n">
        <v>473</v>
      </c>
      <c r="B481" t="n">
        <v>0</v>
      </c>
      <c r="C481" t="n">
        <v>0</v>
      </c>
      <c r="D481" t="n">
        <v>679.6709868893361</v>
      </c>
      <c r="E481">
        <f>C481&lt;0.05</f>
        <v/>
      </c>
      <c r="F481">
        <f>A481=$B$5</f>
        <v/>
      </c>
      <c r="G481">
        <f>IF(E481,A481,10^9)</f>
        <v/>
      </c>
      <c r="H481">
        <f>IF(E481,D481,10^9)</f>
        <v/>
      </c>
    </row>
    <row r="482">
      <c r="A482" t="n">
        <v>474</v>
      </c>
      <c r="B482" t="n">
        <v>0</v>
      </c>
      <c r="C482" t="n">
        <v>0</v>
      </c>
      <c r="D482" t="n">
        <v>680.6709868893361</v>
      </c>
      <c r="E482">
        <f>C482&lt;0.05</f>
        <v/>
      </c>
      <c r="F482">
        <f>A482=$B$5</f>
        <v/>
      </c>
      <c r="G482">
        <f>IF(E482,A482,10^9)</f>
        <v/>
      </c>
      <c r="H482">
        <f>IF(E482,D482,10^9)</f>
        <v/>
      </c>
    </row>
    <row r="483">
      <c r="A483" t="n">
        <v>475</v>
      </c>
      <c r="B483" t="n">
        <v>0</v>
      </c>
      <c r="C483" t="n">
        <v>0</v>
      </c>
      <c r="D483" t="n">
        <v>681.6709868893361</v>
      </c>
      <c r="E483">
        <f>C483&lt;0.05</f>
        <v/>
      </c>
      <c r="F483">
        <f>A483=$B$5</f>
        <v/>
      </c>
      <c r="G483">
        <f>IF(E483,A483,10^9)</f>
        <v/>
      </c>
      <c r="H483">
        <f>IF(E483,D483,10^9)</f>
        <v/>
      </c>
    </row>
    <row r="484">
      <c r="A484" t="n">
        <v>476</v>
      </c>
      <c r="B484" t="n">
        <v>0</v>
      </c>
      <c r="C484" t="n">
        <v>0</v>
      </c>
      <c r="D484" t="n">
        <v>682.6709868893361</v>
      </c>
      <c r="E484">
        <f>C484&lt;0.05</f>
        <v/>
      </c>
      <c r="F484">
        <f>A484=$B$5</f>
        <v/>
      </c>
      <c r="G484">
        <f>IF(E484,A484,10^9)</f>
        <v/>
      </c>
      <c r="H484">
        <f>IF(E484,D484,10^9)</f>
        <v/>
      </c>
    </row>
    <row r="485">
      <c r="A485" t="n">
        <v>477</v>
      </c>
      <c r="B485" t="n">
        <v>0</v>
      </c>
      <c r="C485" t="n">
        <v>0</v>
      </c>
      <c r="D485" t="n">
        <v>683.6709868893361</v>
      </c>
      <c r="E485">
        <f>C485&lt;0.05</f>
        <v/>
      </c>
      <c r="F485">
        <f>A485=$B$5</f>
        <v/>
      </c>
      <c r="G485">
        <f>IF(E485,A485,10^9)</f>
        <v/>
      </c>
      <c r="H485">
        <f>IF(E485,D485,10^9)</f>
        <v/>
      </c>
    </row>
    <row r="486">
      <c r="A486" t="n">
        <v>478</v>
      </c>
      <c r="B486" t="n">
        <v>0</v>
      </c>
      <c r="C486" t="n">
        <v>0</v>
      </c>
      <c r="D486" t="n">
        <v>684.6709868893361</v>
      </c>
      <c r="E486">
        <f>C486&lt;0.05</f>
        <v/>
      </c>
      <c r="F486">
        <f>A486=$B$5</f>
        <v/>
      </c>
      <c r="G486">
        <f>IF(E486,A486,10^9)</f>
        <v/>
      </c>
      <c r="H486">
        <f>IF(E486,D486,10^9)</f>
        <v/>
      </c>
    </row>
    <row r="487">
      <c r="A487" t="n">
        <v>479</v>
      </c>
      <c r="B487" t="n">
        <v>0</v>
      </c>
      <c r="C487" t="n">
        <v>0</v>
      </c>
      <c r="D487" t="n">
        <v>685.6709868893361</v>
      </c>
      <c r="E487">
        <f>C487&lt;0.05</f>
        <v/>
      </c>
      <c r="F487">
        <f>A487=$B$5</f>
        <v/>
      </c>
      <c r="G487">
        <f>IF(E487,A487,10^9)</f>
        <v/>
      </c>
      <c r="H487">
        <f>IF(E487,D487,10^9)</f>
        <v/>
      </c>
    </row>
    <row r="488">
      <c r="A488" t="n">
        <v>480</v>
      </c>
      <c r="B488" t="n">
        <v>0</v>
      </c>
      <c r="C488" t="n">
        <v>0</v>
      </c>
      <c r="D488" t="n">
        <v>686.6709868893361</v>
      </c>
      <c r="E488">
        <f>C488&lt;0.05</f>
        <v/>
      </c>
      <c r="F488">
        <f>A488=$B$5</f>
        <v/>
      </c>
      <c r="G488">
        <f>IF(E488,A488,10^9)</f>
        <v/>
      </c>
      <c r="H488">
        <f>IF(E488,D488,10^9)</f>
        <v/>
      </c>
    </row>
    <row r="489">
      <c r="A489" t="n">
        <v>481</v>
      </c>
      <c r="B489" t="n">
        <v>0</v>
      </c>
      <c r="C489" t="n">
        <v>0</v>
      </c>
      <c r="D489" t="n">
        <v>687.6709868893361</v>
      </c>
      <c r="E489">
        <f>C489&lt;0.05</f>
        <v/>
      </c>
      <c r="F489">
        <f>A489=$B$5</f>
        <v/>
      </c>
      <c r="G489">
        <f>IF(E489,A489,10^9)</f>
        <v/>
      </c>
      <c r="H489">
        <f>IF(E489,D489,10^9)</f>
        <v/>
      </c>
    </row>
    <row r="490">
      <c r="A490" t="n">
        <v>482</v>
      </c>
      <c r="B490" t="n">
        <v>0</v>
      </c>
      <c r="C490" t="n">
        <v>0</v>
      </c>
      <c r="D490" t="n">
        <v>688.6709868893361</v>
      </c>
      <c r="E490">
        <f>C490&lt;0.05</f>
        <v/>
      </c>
      <c r="F490">
        <f>A490=$B$5</f>
        <v/>
      </c>
      <c r="G490">
        <f>IF(E490,A490,10^9)</f>
        <v/>
      </c>
      <c r="H490">
        <f>IF(E490,D490,10^9)</f>
        <v/>
      </c>
    </row>
    <row r="491">
      <c r="A491" t="n">
        <v>483</v>
      </c>
      <c r="B491" t="n">
        <v>0</v>
      </c>
      <c r="C491" t="n">
        <v>0</v>
      </c>
      <c r="D491" t="n">
        <v>689.6709868893361</v>
      </c>
      <c r="E491">
        <f>C491&lt;0.05</f>
        <v/>
      </c>
      <c r="F491">
        <f>A491=$B$5</f>
        <v/>
      </c>
      <c r="G491">
        <f>IF(E491,A491,10^9)</f>
        <v/>
      </c>
      <c r="H491">
        <f>IF(E491,D491,10^9)</f>
        <v/>
      </c>
    </row>
    <row r="492">
      <c r="A492" t="n">
        <v>484</v>
      </c>
      <c r="B492" t="n">
        <v>0</v>
      </c>
      <c r="C492" t="n">
        <v>0</v>
      </c>
      <c r="D492" t="n">
        <v>690.6709868893361</v>
      </c>
      <c r="E492">
        <f>C492&lt;0.05</f>
        <v/>
      </c>
      <c r="F492">
        <f>A492=$B$5</f>
        <v/>
      </c>
      <c r="G492">
        <f>IF(E492,A492,10^9)</f>
        <v/>
      </c>
      <c r="H492">
        <f>IF(E492,D492,10^9)</f>
        <v/>
      </c>
    </row>
    <row r="493">
      <c r="A493" t="n">
        <v>485</v>
      </c>
      <c r="B493" t="n">
        <v>0</v>
      </c>
      <c r="C493" t="n">
        <v>0</v>
      </c>
      <c r="D493" t="n">
        <v>691.6709868893361</v>
      </c>
      <c r="E493">
        <f>C493&lt;0.05</f>
        <v/>
      </c>
      <c r="F493">
        <f>A493=$B$5</f>
        <v/>
      </c>
      <c r="G493">
        <f>IF(E493,A493,10^9)</f>
        <v/>
      </c>
      <c r="H493">
        <f>IF(E493,D493,10^9)</f>
        <v/>
      </c>
    </row>
    <row r="494">
      <c r="A494" t="n">
        <v>486</v>
      </c>
      <c r="B494" t="n">
        <v>0</v>
      </c>
      <c r="C494" t="n">
        <v>0</v>
      </c>
      <c r="D494" t="n">
        <v>692.6709868893361</v>
      </c>
      <c r="E494">
        <f>C494&lt;0.05</f>
        <v/>
      </c>
      <c r="F494">
        <f>A494=$B$5</f>
        <v/>
      </c>
      <c r="G494">
        <f>IF(E494,A494,10^9)</f>
        <v/>
      </c>
      <c r="H494">
        <f>IF(E494,D494,10^9)</f>
        <v/>
      </c>
    </row>
    <row r="495">
      <c r="A495" t="n">
        <v>487</v>
      </c>
      <c r="B495" t="n">
        <v>0</v>
      </c>
      <c r="C495" t="n">
        <v>0</v>
      </c>
      <c r="D495" t="n">
        <v>693.6709868893361</v>
      </c>
      <c r="E495">
        <f>C495&lt;0.05</f>
        <v/>
      </c>
      <c r="F495">
        <f>A495=$B$5</f>
        <v/>
      </c>
      <c r="G495">
        <f>IF(E495,A495,10^9)</f>
        <v/>
      </c>
      <c r="H495">
        <f>IF(E495,D495,10^9)</f>
        <v/>
      </c>
    </row>
    <row r="496">
      <c r="A496" t="n">
        <v>488</v>
      </c>
      <c r="B496" t="n">
        <v>0</v>
      </c>
      <c r="C496" t="n">
        <v>0</v>
      </c>
      <c r="D496" t="n">
        <v>694.6709868893361</v>
      </c>
      <c r="E496">
        <f>C496&lt;0.05</f>
        <v/>
      </c>
      <c r="F496">
        <f>A496=$B$5</f>
        <v/>
      </c>
      <c r="G496">
        <f>IF(E496,A496,10^9)</f>
        <v/>
      </c>
      <c r="H496">
        <f>IF(E496,D496,10^9)</f>
        <v/>
      </c>
    </row>
    <row r="497">
      <c r="A497" t="n">
        <v>489</v>
      </c>
      <c r="B497" t="n">
        <v>0</v>
      </c>
      <c r="C497" t="n">
        <v>0</v>
      </c>
      <c r="D497" t="n">
        <v>695.6709868893361</v>
      </c>
      <c r="E497">
        <f>C497&lt;0.05</f>
        <v/>
      </c>
      <c r="F497">
        <f>A497=$B$5</f>
        <v/>
      </c>
      <c r="G497">
        <f>IF(E497,A497,10^9)</f>
        <v/>
      </c>
      <c r="H497">
        <f>IF(E497,D497,10^9)</f>
        <v/>
      </c>
    </row>
    <row r="498">
      <c r="A498" t="n">
        <v>490</v>
      </c>
      <c r="B498" t="n">
        <v>0</v>
      </c>
      <c r="C498" t="n">
        <v>0</v>
      </c>
      <c r="D498" t="n">
        <v>696.6709868893361</v>
      </c>
      <c r="E498">
        <f>C498&lt;0.05</f>
        <v/>
      </c>
      <c r="F498">
        <f>A498=$B$5</f>
        <v/>
      </c>
      <c r="G498">
        <f>IF(E498,A498,10^9)</f>
        <v/>
      </c>
      <c r="H498">
        <f>IF(E498,D498,10^9)</f>
        <v/>
      </c>
    </row>
    <row r="499">
      <c r="A499" t="n">
        <v>491</v>
      </c>
      <c r="B499" t="n">
        <v>0</v>
      </c>
      <c r="C499" t="n">
        <v>0</v>
      </c>
      <c r="D499" t="n">
        <v>697.6709868893361</v>
      </c>
      <c r="E499">
        <f>C499&lt;0.05</f>
        <v/>
      </c>
      <c r="F499">
        <f>A499=$B$5</f>
        <v/>
      </c>
      <c r="G499">
        <f>IF(E499,A499,10^9)</f>
        <v/>
      </c>
      <c r="H499">
        <f>IF(E499,D499,10^9)</f>
        <v/>
      </c>
    </row>
    <row r="500">
      <c r="A500" t="n">
        <v>492</v>
      </c>
      <c r="B500" t="n">
        <v>0</v>
      </c>
      <c r="C500" t="n">
        <v>0</v>
      </c>
      <c r="D500" t="n">
        <v>698.6709868893361</v>
      </c>
      <c r="E500">
        <f>C500&lt;0.05</f>
        <v/>
      </c>
      <c r="F500">
        <f>A500=$B$5</f>
        <v/>
      </c>
      <c r="G500">
        <f>IF(E500,A500,10^9)</f>
        <v/>
      </c>
      <c r="H500">
        <f>IF(E500,D500,10^9)</f>
        <v/>
      </c>
    </row>
    <row r="501">
      <c r="A501" t="n">
        <v>493</v>
      </c>
      <c r="B501" t="n">
        <v>0</v>
      </c>
      <c r="C501" t="n">
        <v>0</v>
      </c>
      <c r="D501" t="n">
        <v>699.6709868893361</v>
      </c>
      <c r="E501">
        <f>C501&lt;0.05</f>
        <v/>
      </c>
      <c r="F501">
        <f>A501=$B$5</f>
        <v/>
      </c>
      <c r="G501">
        <f>IF(E501,A501,10^9)</f>
        <v/>
      </c>
      <c r="H501">
        <f>IF(E501,D501,10^9)</f>
        <v/>
      </c>
    </row>
    <row r="502">
      <c r="A502" t="n">
        <v>494</v>
      </c>
      <c r="B502" t="n">
        <v>0</v>
      </c>
      <c r="C502" t="n">
        <v>0</v>
      </c>
      <c r="D502" t="n">
        <v>700.6709868893361</v>
      </c>
      <c r="E502">
        <f>C502&lt;0.05</f>
        <v/>
      </c>
      <c r="F502">
        <f>A502=$B$5</f>
        <v/>
      </c>
      <c r="G502">
        <f>IF(E502,A502,10^9)</f>
        <v/>
      </c>
      <c r="H502">
        <f>IF(E502,D502,10^9)</f>
        <v/>
      </c>
    </row>
    <row r="503">
      <c r="A503" t="n">
        <v>495</v>
      </c>
      <c r="B503" t="n">
        <v>0</v>
      </c>
      <c r="C503" t="n">
        <v>0</v>
      </c>
      <c r="D503" t="n">
        <v>701.6709868893361</v>
      </c>
      <c r="E503">
        <f>C503&lt;0.05</f>
        <v/>
      </c>
      <c r="F503">
        <f>A503=$B$5</f>
        <v/>
      </c>
      <c r="G503">
        <f>IF(E503,A503,10^9)</f>
        <v/>
      </c>
      <c r="H503">
        <f>IF(E503,D503,10^9)</f>
        <v/>
      </c>
    </row>
    <row r="504">
      <c r="A504" t="n">
        <v>496</v>
      </c>
      <c r="B504" t="n">
        <v>0</v>
      </c>
      <c r="C504" t="n">
        <v>0</v>
      </c>
      <c r="D504" t="n">
        <v>702.6709868893361</v>
      </c>
      <c r="E504">
        <f>C504&lt;0.05</f>
        <v/>
      </c>
      <c r="F504">
        <f>A504=$B$5</f>
        <v/>
      </c>
      <c r="G504">
        <f>IF(E504,A504,10^9)</f>
        <v/>
      </c>
      <c r="H504">
        <f>IF(E504,D504,10^9)</f>
        <v/>
      </c>
    </row>
    <row r="505">
      <c r="A505" t="n">
        <v>497</v>
      </c>
      <c r="B505" t="n">
        <v>0</v>
      </c>
      <c r="C505" t="n">
        <v>0</v>
      </c>
      <c r="D505" t="n">
        <v>703.6709868893361</v>
      </c>
      <c r="E505">
        <f>C505&lt;0.05</f>
        <v/>
      </c>
      <c r="F505">
        <f>A505=$B$5</f>
        <v/>
      </c>
      <c r="G505">
        <f>IF(E505,A505,10^9)</f>
        <v/>
      </c>
      <c r="H505">
        <f>IF(E505,D505,10^9)</f>
        <v/>
      </c>
    </row>
    <row r="506">
      <c r="A506" t="n">
        <v>498</v>
      </c>
      <c r="B506" t="n">
        <v>0</v>
      </c>
      <c r="C506" t="n">
        <v>0</v>
      </c>
      <c r="D506" t="n">
        <v>704.6709868893361</v>
      </c>
      <c r="E506">
        <f>C506&lt;0.05</f>
        <v/>
      </c>
      <c r="F506">
        <f>A506=$B$5</f>
        <v/>
      </c>
      <c r="G506">
        <f>IF(E506,A506,10^9)</f>
        <v/>
      </c>
      <c r="H506">
        <f>IF(E506,D506,10^9)</f>
        <v/>
      </c>
    </row>
    <row r="507">
      <c r="A507" t="n">
        <v>499</v>
      </c>
      <c r="B507" t="n">
        <v>0</v>
      </c>
      <c r="C507" t="n">
        <v>0</v>
      </c>
      <c r="D507" t="n">
        <v>705.6709868893361</v>
      </c>
      <c r="E507">
        <f>C507&lt;0.05</f>
        <v/>
      </c>
      <c r="F507">
        <f>A507=$B$5</f>
        <v/>
      </c>
      <c r="G507">
        <f>IF(E507,A507,10^9)</f>
        <v/>
      </c>
      <c r="H507">
        <f>IF(E507,D507,10^9)</f>
        <v/>
      </c>
    </row>
    <row r="508">
      <c r="A508" t="n">
        <v>500</v>
      </c>
      <c r="B508" t="n">
        <v>0</v>
      </c>
      <c r="C508" t="n">
        <v>0</v>
      </c>
      <c r="D508" t="n">
        <v>706.6709868893361</v>
      </c>
      <c r="E508">
        <f>C508&lt;0.05</f>
        <v/>
      </c>
      <c r="F508">
        <f>A508=$B$5</f>
        <v/>
      </c>
      <c r="G508">
        <f>IF(E508,A508,10^9)</f>
        <v/>
      </c>
      <c r="H508">
        <f>IF(E508,D508,10^9)</f>
        <v/>
      </c>
    </row>
    <row r="509">
      <c r="A509" t="n">
        <v>501</v>
      </c>
      <c r="B509" t="n">
        <v>0</v>
      </c>
      <c r="C509" t="n">
        <v>0</v>
      </c>
      <c r="D509" t="n">
        <v>707.6709868893361</v>
      </c>
      <c r="E509">
        <f>C509&lt;0.05</f>
        <v/>
      </c>
      <c r="F509">
        <f>A509=$B$5</f>
        <v/>
      </c>
      <c r="G509">
        <f>IF(E509,A509,10^9)</f>
        <v/>
      </c>
      <c r="H509">
        <f>IF(E509,D509,10^9)</f>
        <v/>
      </c>
    </row>
    <row r="510">
      <c r="A510" t="n">
        <v>502</v>
      </c>
      <c r="B510" t="n">
        <v>0</v>
      </c>
      <c r="C510" t="n">
        <v>0</v>
      </c>
      <c r="D510" t="n">
        <v>708.6709868893361</v>
      </c>
      <c r="E510">
        <f>C510&lt;0.05</f>
        <v/>
      </c>
      <c r="F510">
        <f>A510=$B$5</f>
        <v/>
      </c>
      <c r="G510">
        <f>IF(E510,A510,10^9)</f>
        <v/>
      </c>
      <c r="H510">
        <f>IF(E510,D510,10^9)</f>
        <v/>
      </c>
    </row>
    <row r="511">
      <c r="A511" t="n">
        <v>503</v>
      </c>
      <c r="B511" t="n">
        <v>0</v>
      </c>
      <c r="C511" t="n">
        <v>0</v>
      </c>
      <c r="D511" t="n">
        <v>709.6709868893361</v>
      </c>
      <c r="E511">
        <f>C511&lt;0.05</f>
        <v/>
      </c>
      <c r="F511">
        <f>A511=$B$5</f>
        <v/>
      </c>
      <c r="G511">
        <f>IF(E511,A511,10^9)</f>
        <v/>
      </c>
      <c r="H511">
        <f>IF(E511,D511,10^9)</f>
        <v/>
      </c>
    </row>
    <row r="512">
      <c r="A512" t="n">
        <v>504</v>
      </c>
      <c r="B512" t="n">
        <v>0</v>
      </c>
      <c r="C512" t="n">
        <v>0</v>
      </c>
      <c r="D512" t="n">
        <v>710.6709868893361</v>
      </c>
      <c r="E512">
        <f>C512&lt;0.05</f>
        <v/>
      </c>
      <c r="F512">
        <f>A512=$B$5</f>
        <v/>
      </c>
      <c r="G512">
        <f>IF(E512,A512,10^9)</f>
        <v/>
      </c>
      <c r="H512">
        <f>IF(E512,D512,10^9)</f>
        <v/>
      </c>
    </row>
    <row r="513">
      <c r="A513" t="n">
        <v>505</v>
      </c>
      <c r="B513" t="n">
        <v>0</v>
      </c>
      <c r="C513" t="n">
        <v>0</v>
      </c>
      <c r="D513" t="n">
        <v>711.6709868893361</v>
      </c>
      <c r="E513">
        <f>C513&lt;0.05</f>
        <v/>
      </c>
      <c r="F513">
        <f>A513=$B$5</f>
        <v/>
      </c>
      <c r="G513">
        <f>IF(E513,A513,10^9)</f>
        <v/>
      </c>
      <c r="H513">
        <f>IF(E513,D513,10^9)</f>
        <v/>
      </c>
    </row>
    <row r="514">
      <c r="A514" t="n">
        <v>506</v>
      </c>
      <c r="B514" t="n">
        <v>0</v>
      </c>
      <c r="C514" t="n">
        <v>0</v>
      </c>
      <c r="D514" t="n">
        <v>712.6709868893361</v>
      </c>
      <c r="E514">
        <f>C514&lt;0.05</f>
        <v/>
      </c>
      <c r="F514">
        <f>A514=$B$5</f>
        <v/>
      </c>
      <c r="G514">
        <f>IF(E514,A514,10^9)</f>
        <v/>
      </c>
      <c r="H514">
        <f>IF(E514,D514,10^9)</f>
        <v/>
      </c>
    </row>
    <row r="515">
      <c r="A515" t="n">
        <v>507</v>
      </c>
      <c r="B515" t="n">
        <v>0</v>
      </c>
      <c r="C515" t="n">
        <v>0</v>
      </c>
      <c r="D515" t="n">
        <v>713.6709868893359</v>
      </c>
      <c r="E515">
        <f>C515&lt;0.05</f>
        <v/>
      </c>
      <c r="F515">
        <f>A515=$B$5</f>
        <v/>
      </c>
      <c r="G515">
        <f>IF(E515,A515,10^9)</f>
        <v/>
      </c>
      <c r="H515">
        <f>IF(E515,D515,10^9)</f>
        <v/>
      </c>
    </row>
    <row r="516">
      <c r="A516" t="n">
        <v>508</v>
      </c>
      <c r="B516" t="n">
        <v>0</v>
      </c>
      <c r="C516" t="n">
        <v>0</v>
      </c>
      <c r="D516" t="n">
        <v>714.6709868893359</v>
      </c>
      <c r="E516">
        <f>C516&lt;0.05</f>
        <v/>
      </c>
      <c r="F516">
        <f>A516=$B$5</f>
        <v/>
      </c>
      <c r="G516">
        <f>IF(E516,A516,10^9)</f>
        <v/>
      </c>
      <c r="H516">
        <f>IF(E516,D516,10^9)</f>
        <v/>
      </c>
    </row>
    <row r="517">
      <c r="A517" t="n">
        <v>509</v>
      </c>
      <c r="B517" t="n">
        <v>0</v>
      </c>
      <c r="C517" t="n">
        <v>0</v>
      </c>
      <c r="D517" t="n">
        <v>715.6709868893359</v>
      </c>
      <c r="E517">
        <f>C517&lt;0.05</f>
        <v/>
      </c>
      <c r="F517">
        <f>A517=$B$5</f>
        <v/>
      </c>
      <c r="G517">
        <f>IF(E517,A517,10^9)</f>
        <v/>
      </c>
      <c r="H517">
        <f>IF(E517,D517,10^9)</f>
        <v/>
      </c>
    </row>
    <row r="518">
      <c r="A518" t="n">
        <v>510</v>
      </c>
      <c r="B518" t="n">
        <v>0</v>
      </c>
      <c r="C518" t="n">
        <v>0</v>
      </c>
      <c r="D518" t="n">
        <v>716.6709868893359</v>
      </c>
      <c r="E518">
        <f>C518&lt;0.05</f>
        <v/>
      </c>
      <c r="F518">
        <f>A518=$B$5</f>
        <v/>
      </c>
      <c r="G518">
        <f>IF(E518,A518,10^9)</f>
        <v/>
      </c>
      <c r="H518">
        <f>IF(E518,D518,10^9)</f>
        <v/>
      </c>
    </row>
    <row r="519">
      <c r="A519" t="n">
        <v>511</v>
      </c>
      <c r="B519" t="n">
        <v>0</v>
      </c>
      <c r="C519" t="n">
        <v>0</v>
      </c>
      <c r="D519" t="n">
        <v>717.6709868893359</v>
      </c>
      <c r="E519">
        <f>C519&lt;0.05</f>
        <v/>
      </c>
      <c r="F519">
        <f>A519=$B$5</f>
        <v/>
      </c>
      <c r="G519">
        <f>IF(E519,A519,10^9)</f>
        <v/>
      </c>
      <c r="H519">
        <f>IF(E519,D519,10^9)</f>
        <v/>
      </c>
    </row>
    <row r="520">
      <c r="A520" t="n">
        <v>512</v>
      </c>
      <c r="B520" t="n">
        <v>0</v>
      </c>
      <c r="C520" t="n">
        <v>0</v>
      </c>
      <c r="D520" t="n">
        <v>718.6709868893359</v>
      </c>
      <c r="E520">
        <f>C520&lt;0.05</f>
        <v/>
      </c>
      <c r="F520">
        <f>A520=$B$5</f>
        <v/>
      </c>
      <c r="G520">
        <f>IF(E520,A520,10^9)</f>
        <v/>
      </c>
      <c r="H520">
        <f>IF(E520,D520,10^9)</f>
        <v/>
      </c>
    </row>
    <row r="521">
      <c r="A521" t="n">
        <v>513</v>
      </c>
      <c r="B521" t="n">
        <v>0</v>
      </c>
      <c r="C521" t="n">
        <v>0</v>
      </c>
      <c r="D521" t="n">
        <v>719.6709868893359</v>
      </c>
      <c r="E521">
        <f>C521&lt;0.05</f>
        <v/>
      </c>
      <c r="F521">
        <f>A521=$B$5</f>
        <v/>
      </c>
      <c r="G521">
        <f>IF(E521,A521,10^9)</f>
        <v/>
      </c>
      <c r="H521">
        <f>IF(E521,D521,10^9)</f>
        <v/>
      </c>
    </row>
    <row r="522">
      <c r="A522" t="n">
        <v>514</v>
      </c>
      <c r="B522" t="n">
        <v>0</v>
      </c>
      <c r="C522" t="n">
        <v>0</v>
      </c>
      <c r="D522" t="n">
        <v>720.6709868893359</v>
      </c>
      <c r="E522">
        <f>C522&lt;0.05</f>
        <v/>
      </c>
      <c r="F522">
        <f>A522=$B$5</f>
        <v/>
      </c>
      <c r="G522">
        <f>IF(E522,A522,10^9)</f>
        <v/>
      </c>
      <c r="H522">
        <f>IF(E522,D522,10^9)</f>
        <v/>
      </c>
    </row>
    <row r="523">
      <c r="A523" t="n">
        <v>515</v>
      </c>
      <c r="B523" t="n">
        <v>0</v>
      </c>
      <c r="C523" t="n">
        <v>0</v>
      </c>
      <c r="D523" t="n">
        <v>721.6709868893359</v>
      </c>
      <c r="E523">
        <f>C523&lt;0.05</f>
        <v/>
      </c>
      <c r="F523">
        <f>A523=$B$5</f>
        <v/>
      </c>
      <c r="G523">
        <f>IF(E523,A523,10^9)</f>
        <v/>
      </c>
      <c r="H523">
        <f>IF(E523,D523,10^9)</f>
        <v/>
      </c>
    </row>
    <row r="524">
      <c r="A524" t="n">
        <v>516</v>
      </c>
      <c r="B524" t="n">
        <v>0</v>
      </c>
      <c r="C524" t="n">
        <v>0</v>
      </c>
      <c r="D524" t="n">
        <v>722.6709868893359</v>
      </c>
      <c r="E524">
        <f>C524&lt;0.05</f>
        <v/>
      </c>
      <c r="F524">
        <f>A524=$B$5</f>
        <v/>
      </c>
      <c r="G524">
        <f>IF(E524,A524,10^9)</f>
        <v/>
      </c>
      <c r="H524">
        <f>IF(E524,D524,10^9)</f>
        <v/>
      </c>
    </row>
    <row r="525">
      <c r="A525" t="n">
        <v>517</v>
      </c>
      <c r="B525" t="n">
        <v>0</v>
      </c>
      <c r="C525" t="n">
        <v>0</v>
      </c>
      <c r="D525" t="n">
        <v>723.6709868893359</v>
      </c>
      <c r="E525">
        <f>C525&lt;0.05</f>
        <v/>
      </c>
      <c r="F525">
        <f>A525=$B$5</f>
        <v/>
      </c>
      <c r="G525">
        <f>IF(E525,A525,10^9)</f>
        <v/>
      </c>
      <c r="H525">
        <f>IF(E525,D525,10^9)</f>
        <v/>
      </c>
    </row>
    <row r="526">
      <c r="A526" t="n">
        <v>518</v>
      </c>
      <c r="B526" t="n">
        <v>0</v>
      </c>
      <c r="C526" t="n">
        <v>0</v>
      </c>
      <c r="D526" t="n">
        <v>724.6709868893359</v>
      </c>
      <c r="E526">
        <f>C526&lt;0.05</f>
        <v/>
      </c>
      <c r="F526">
        <f>A526=$B$5</f>
        <v/>
      </c>
      <c r="G526">
        <f>IF(E526,A526,10^9)</f>
        <v/>
      </c>
      <c r="H526">
        <f>IF(E526,D526,10^9)</f>
        <v/>
      </c>
    </row>
    <row r="527">
      <c r="A527" t="n">
        <v>519</v>
      </c>
      <c r="B527" t="n">
        <v>0</v>
      </c>
      <c r="C527" t="n">
        <v>0</v>
      </c>
      <c r="D527" t="n">
        <v>725.6709868893359</v>
      </c>
      <c r="E527">
        <f>C527&lt;0.05</f>
        <v/>
      </c>
      <c r="F527">
        <f>A527=$B$5</f>
        <v/>
      </c>
      <c r="G527">
        <f>IF(E527,A527,10^9)</f>
        <v/>
      </c>
      <c r="H527">
        <f>IF(E527,D527,10^9)</f>
        <v/>
      </c>
    </row>
    <row r="528">
      <c r="A528" t="n">
        <v>520</v>
      </c>
      <c r="B528" t="n">
        <v>0</v>
      </c>
      <c r="C528" t="n">
        <v>0</v>
      </c>
      <c r="D528" t="n">
        <v>726.6709868893359</v>
      </c>
      <c r="E528">
        <f>C528&lt;0.05</f>
        <v/>
      </c>
      <c r="F528">
        <f>A528=$B$5</f>
        <v/>
      </c>
      <c r="G528">
        <f>IF(E528,A528,10^9)</f>
        <v/>
      </c>
      <c r="H528">
        <f>IF(E528,D528,10^9)</f>
        <v/>
      </c>
    </row>
    <row r="529">
      <c r="A529" t="n">
        <v>521</v>
      </c>
      <c r="B529" t="n">
        <v>0</v>
      </c>
      <c r="C529" t="n">
        <v>0</v>
      </c>
      <c r="D529" t="n">
        <v>727.6709868893359</v>
      </c>
      <c r="E529">
        <f>C529&lt;0.05</f>
        <v/>
      </c>
      <c r="F529">
        <f>A529=$B$5</f>
        <v/>
      </c>
      <c r="G529">
        <f>IF(E529,A529,10^9)</f>
        <v/>
      </c>
      <c r="H529">
        <f>IF(E529,D529,10^9)</f>
        <v/>
      </c>
    </row>
    <row r="530">
      <c r="A530" t="n">
        <v>522</v>
      </c>
      <c r="B530" t="n">
        <v>0</v>
      </c>
      <c r="C530" t="n">
        <v>0</v>
      </c>
      <c r="D530" t="n">
        <v>728.6709868893359</v>
      </c>
      <c r="E530">
        <f>C530&lt;0.05</f>
        <v/>
      </c>
      <c r="F530">
        <f>A530=$B$5</f>
        <v/>
      </c>
      <c r="G530">
        <f>IF(E530,A530,10^9)</f>
        <v/>
      </c>
      <c r="H530">
        <f>IF(E530,D530,10^9)</f>
        <v/>
      </c>
    </row>
    <row r="531">
      <c r="A531" t="n">
        <v>523</v>
      </c>
      <c r="B531" t="n">
        <v>0</v>
      </c>
      <c r="C531" t="n">
        <v>0</v>
      </c>
      <c r="D531" t="n">
        <v>729.6709868893359</v>
      </c>
      <c r="E531">
        <f>C531&lt;0.05</f>
        <v/>
      </c>
      <c r="F531">
        <f>A531=$B$5</f>
        <v/>
      </c>
      <c r="G531">
        <f>IF(E531,A531,10^9)</f>
        <v/>
      </c>
      <c r="H531">
        <f>IF(E531,D531,10^9)</f>
        <v/>
      </c>
    </row>
    <row r="532">
      <c r="A532" t="n">
        <v>524</v>
      </c>
      <c r="B532" t="n">
        <v>0</v>
      </c>
      <c r="C532" t="n">
        <v>0</v>
      </c>
      <c r="D532" t="n">
        <v>730.6709868893359</v>
      </c>
      <c r="E532">
        <f>C532&lt;0.05</f>
        <v/>
      </c>
      <c r="F532">
        <f>A532=$B$5</f>
        <v/>
      </c>
      <c r="G532">
        <f>IF(E532,A532,10^9)</f>
        <v/>
      </c>
      <c r="H532">
        <f>IF(E532,D532,10^9)</f>
        <v/>
      </c>
    </row>
    <row r="533">
      <c r="A533" t="n">
        <v>525</v>
      </c>
      <c r="B533" t="n">
        <v>0</v>
      </c>
      <c r="C533" t="n">
        <v>0</v>
      </c>
      <c r="D533" t="n">
        <v>731.6709868893359</v>
      </c>
      <c r="E533">
        <f>C533&lt;0.05</f>
        <v/>
      </c>
      <c r="F533">
        <f>A533=$B$5</f>
        <v/>
      </c>
      <c r="G533">
        <f>IF(E533,A533,10^9)</f>
        <v/>
      </c>
      <c r="H533">
        <f>IF(E533,D533,10^9)</f>
        <v/>
      </c>
    </row>
    <row r="534">
      <c r="A534" t="n">
        <v>526</v>
      </c>
      <c r="B534" t="n">
        <v>0</v>
      </c>
      <c r="C534" t="n">
        <v>0</v>
      </c>
      <c r="D534" t="n">
        <v>732.6709868893359</v>
      </c>
      <c r="E534">
        <f>C534&lt;0.05</f>
        <v/>
      </c>
      <c r="F534">
        <f>A534=$B$5</f>
        <v/>
      </c>
      <c r="G534">
        <f>IF(E534,A534,10^9)</f>
        <v/>
      </c>
      <c r="H534">
        <f>IF(E534,D534,10^9)</f>
        <v/>
      </c>
    </row>
    <row r="535">
      <c r="A535" t="n">
        <v>527</v>
      </c>
      <c r="B535" t="n">
        <v>0</v>
      </c>
      <c r="C535" t="n">
        <v>0</v>
      </c>
      <c r="D535" t="n">
        <v>733.6709868893359</v>
      </c>
      <c r="E535">
        <f>C535&lt;0.05</f>
        <v/>
      </c>
      <c r="F535">
        <f>A535=$B$5</f>
        <v/>
      </c>
      <c r="G535">
        <f>IF(E535,A535,10^9)</f>
        <v/>
      </c>
      <c r="H535">
        <f>IF(E535,D535,10^9)</f>
        <v/>
      </c>
    </row>
    <row r="536">
      <c r="A536" t="n">
        <v>528</v>
      </c>
      <c r="B536" t="n">
        <v>0</v>
      </c>
      <c r="C536" t="n">
        <v>0</v>
      </c>
      <c r="D536" t="n">
        <v>734.6709868893359</v>
      </c>
      <c r="E536">
        <f>C536&lt;0.05</f>
        <v/>
      </c>
      <c r="F536">
        <f>A536=$B$5</f>
        <v/>
      </c>
      <c r="G536">
        <f>IF(E536,A536,10^9)</f>
        <v/>
      </c>
      <c r="H536">
        <f>IF(E536,D536,10^9)</f>
        <v/>
      </c>
    </row>
    <row r="537">
      <c r="A537" t="n">
        <v>529</v>
      </c>
      <c r="B537" t="n">
        <v>0</v>
      </c>
      <c r="C537" t="n">
        <v>0</v>
      </c>
      <c r="D537" t="n">
        <v>735.6709868893359</v>
      </c>
      <c r="E537">
        <f>C537&lt;0.05</f>
        <v/>
      </c>
      <c r="F537">
        <f>A537=$B$5</f>
        <v/>
      </c>
      <c r="G537">
        <f>IF(E537,A537,10^9)</f>
        <v/>
      </c>
      <c r="H537">
        <f>IF(E537,D537,10^9)</f>
        <v/>
      </c>
    </row>
    <row r="538">
      <c r="A538" t="n">
        <v>530</v>
      </c>
      <c r="B538" t="n">
        <v>0</v>
      </c>
      <c r="C538" t="n">
        <v>0</v>
      </c>
      <c r="D538" t="n">
        <v>736.6709868893359</v>
      </c>
      <c r="E538">
        <f>C538&lt;0.05</f>
        <v/>
      </c>
      <c r="F538">
        <f>A538=$B$5</f>
        <v/>
      </c>
      <c r="G538">
        <f>IF(E538,A538,10^9)</f>
        <v/>
      </c>
      <c r="H538">
        <f>IF(E538,D538,10^9)</f>
        <v/>
      </c>
    </row>
    <row r="539">
      <c r="A539" t="n">
        <v>531</v>
      </c>
      <c r="B539" t="n">
        <v>0</v>
      </c>
      <c r="C539" t="n">
        <v>0</v>
      </c>
      <c r="D539" t="n">
        <v>737.6709868893359</v>
      </c>
      <c r="E539">
        <f>C539&lt;0.05</f>
        <v/>
      </c>
      <c r="F539">
        <f>A539=$B$5</f>
        <v/>
      </c>
      <c r="G539">
        <f>IF(E539,A539,10^9)</f>
        <v/>
      </c>
      <c r="H539">
        <f>IF(E539,D539,10^9)</f>
        <v/>
      </c>
    </row>
    <row r="540">
      <c r="A540" t="n">
        <v>532</v>
      </c>
      <c r="B540" t="n">
        <v>0</v>
      </c>
      <c r="C540" t="n">
        <v>0</v>
      </c>
      <c r="D540" t="n">
        <v>738.6709868893359</v>
      </c>
      <c r="E540">
        <f>C540&lt;0.05</f>
        <v/>
      </c>
      <c r="F540">
        <f>A540=$B$5</f>
        <v/>
      </c>
      <c r="G540">
        <f>IF(E540,A540,10^9)</f>
        <v/>
      </c>
      <c r="H540">
        <f>IF(E540,D540,10^9)</f>
        <v/>
      </c>
    </row>
    <row r="541">
      <c r="A541" t="n">
        <v>533</v>
      </c>
      <c r="B541" t="n">
        <v>0</v>
      </c>
      <c r="C541" t="n">
        <v>0</v>
      </c>
      <c r="D541" t="n">
        <v>739.6709868893359</v>
      </c>
      <c r="E541">
        <f>C541&lt;0.05</f>
        <v/>
      </c>
      <c r="F541">
        <f>A541=$B$5</f>
        <v/>
      </c>
      <c r="G541">
        <f>IF(E541,A541,10^9)</f>
        <v/>
      </c>
      <c r="H541">
        <f>IF(E541,D541,10^9)</f>
        <v/>
      </c>
    </row>
    <row r="542">
      <c r="A542" t="n">
        <v>534</v>
      </c>
      <c r="B542" t="n">
        <v>0</v>
      </c>
      <c r="C542" t="n">
        <v>0</v>
      </c>
      <c r="D542" t="n">
        <v>740.6709868893359</v>
      </c>
      <c r="E542">
        <f>C542&lt;0.05</f>
        <v/>
      </c>
      <c r="F542">
        <f>A542=$B$5</f>
        <v/>
      </c>
      <c r="G542">
        <f>IF(E542,A542,10^9)</f>
        <v/>
      </c>
      <c r="H542">
        <f>IF(E542,D542,10^9)</f>
        <v/>
      </c>
    </row>
    <row r="543">
      <c r="A543" t="n">
        <v>535</v>
      </c>
      <c r="B543" t="n">
        <v>0</v>
      </c>
      <c r="C543" t="n">
        <v>0</v>
      </c>
      <c r="D543" t="n">
        <v>741.6709868893359</v>
      </c>
      <c r="E543">
        <f>C543&lt;0.05</f>
        <v/>
      </c>
      <c r="F543">
        <f>A543=$B$5</f>
        <v/>
      </c>
      <c r="G543">
        <f>IF(E543,A543,10^9)</f>
        <v/>
      </c>
      <c r="H543">
        <f>IF(E543,D543,10^9)</f>
        <v/>
      </c>
    </row>
    <row r="544">
      <c r="A544" t="n">
        <v>536</v>
      </c>
      <c r="B544" t="n">
        <v>0</v>
      </c>
      <c r="C544" t="n">
        <v>0</v>
      </c>
      <c r="D544" t="n">
        <v>742.6709868893359</v>
      </c>
      <c r="E544">
        <f>C544&lt;0.05</f>
        <v/>
      </c>
      <c r="F544">
        <f>A544=$B$5</f>
        <v/>
      </c>
      <c r="G544">
        <f>IF(E544,A544,10^9)</f>
        <v/>
      </c>
      <c r="H544">
        <f>IF(E544,D544,10^9)</f>
        <v/>
      </c>
    </row>
    <row r="545">
      <c r="A545" t="n">
        <v>537</v>
      </c>
      <c r="B545" t="n">
        <v>0</v>
      </c>
      <c r="C545" t="n">
        <v>0</v>
      </c>
      <c r="D545" t="n">
        <v>743.6709868893359</v>
      </c>
      <c r="E545">
        <f>C545&lt;0.05</f>
        <v/>
      </c>
      <c r="F545">
        <f>A545=$B$5</f>
        <v/>
      </c>
      <c r="G545">
        <f>IF(E545,A545,10^9)</f>
        <v/>
      </c>
      <c r="H545">
        <f>IF(E545,D545,10^9)</f>
        <v/>
      </c>
    </row>
    <row r="546">
      <c r="A546" t="n">
        <v>538</v>
      </c>
      <c r="B546" t="n">
        <v>0</v>
      </c>
      <c r="C546" t="n">
        <v>0</v>
      </c>
      <c r="D546" t="n">
        <v>744.6709868893359</v>
      </c>
      <c r="E546">
        <f>C546&lt;0.05</f>
        <v/>
      </c>
      <c r="F546">
        <f>A546=$B$5</f>
        <v/>
      </c>
      <c r="G546">
        <f>IF(E546,A546,10^9)</f>
        <v/>
      </c>
      <c r="H546">
        <f>IF(E546,D546,10^9)</f>
        <v/>
      </c>
    </row>
    <row r="547">
      <c r="A547" t="n">
        <v>539</v>
      </c>
      <c r="B547" t="n">
        <v>0</v>
      </c>
      <c r="C547" t="n">
        <v>0</v>
      </c>
      <c r="D547" t="n">
        <v>745.6709868893359</v>
      </c>
      <c r="E547">
        <f>C547&lt;0.05</f>
        <v/>
      </c>
      <c r="F547">
        <f>A547=$B$5</f>
        <v/>
      </c>
      <c r="G547">
        <f>IF(E547,A547,10^9)</f>
        <v/>
      </c>
      <c r="H547">
        <f>IF(E547,D547,10^9)</f>
        <v/>
      </c>
    </row>
    <row r="548">
      <c r="A548" t="n">
        <v>540</v>
      </c>
      <c r="B548" t="n">
        <v>0</v>
      </c>
      <c r="C548" t="n">
        <v>0</v>
      </c>
      <c r="D548" t="n">
        <v>746.6709868893359</v>
      </c>
      <c r="E548">
        <f>C548&lt;0.05</f>
        <v/>
      </c>
      <c r="F548">
        <f>A548=$B$5</f>
        <v/>
      </c>
      <c r="G548">
        <f>IF(E548,A548,10^9)</f>
        <v/>
      </c>
      <c r="H548">
        <f>IF(E548,D548,10^9)</f>
        <v/>
      </c>
    </row>
    <row r="549">
      <c r="A549" t="n">
        <v>541</v>
      </c>
      <c r="B549" t="n">
        <v>0</v>
      </c>
      <c r="C549" t="n">
        <v>0</v>
      </c>
      <c r="D549" t="n">
        <v>747.6709868893359</v>
      </c>
      <c r="E549">
        <f>C549&lt;0.05</f>
        <v/>
      </c>
      <c r="F549">
        <f>A549=$B$5</f>
        <v/>
      </c>
      <c r="G549">
        <f>IF(E549,A549,10^9)</f>
        <v/>
      </c>
      <c r="H549">
        <f>IF(E549,D549,10^9)</f>
        <v/>
      </c>
    </row>
    <row r="550">
      <c r="A550" t="n">
        <v>542</v>
      </c>
      <c r="B550" t="n">
        <v>0</v>
      </c>
      <c r="C550" t="n">
        <v>0</v>
      </c>
      <c r="D550" t="n">
        <v>748.6709868893359</v>
      </c>
      <c r="E550">
        <f>C550&lt;0.05</f>
        <v/>
      </c>
      <c r="F550">
        <f>A550=$B$5</f>
        <v/>
      </c>
      <c r="G550">
        <f>IF(E550,A550,10^9)</f>
        <v/>
      </c>
      <c r="H550">
        <f>IF(E550,D550,10^9)</f>
        <v/>
      </c>
    </row>
    <row r="551">
      <c r="A551" t="n">
        <v>543</v>
      </c>
      <c r="B551" t="n">
        <v>0</v>
      </c>
      <c r="C551" t="n">
        <v>0</v>
      </c>
      <c r="D551" t="n">
        <v>749.6709868893359</v>
      </c>
      <c r="E551">
        <f>C551&lt;0.05</f>
        <v/>
      </c>
      <c r="F551">
        <f>A551=$B$5</f>
        <v/>
      </c>
      <c r="G551">
        <f>IF(E551,A551,10^9)</f>
        <v/>
      </c>
      <c r="H551">
        <f>IF(E551,D551,10^9)</f>
        <v/>
      </c>
    </row>
    <row r="552">
      <c r="A552" t="n">
        <v>544</v>
      </c>
      <c r="B552" t="n">
        <v>0</v>
      </c>
      <c r="C552" t="n">
        <v>0</v>
      </c>
      <c r="D552" t="n">
        <v>750.6709868893359</v>
      </c>
      <c r="E552">
        <f>C552&lt;0.05</f>
        <v/>
      </c>
      <c r="F552">
        <f>A552=$B$5</f>
        <v/>
      </c>
      <c r="G552">
        <f>IF(E552,A552,10^9)</f>
        <v/>
      </c>
      <c r="H552">
        <f>IF(E552,D552,10^9)</f>
        <v/>
      </c>
    </row>
    <row r="553">
      <c r="A553" t="n">
        <v>545</v>
      </c>
      <c r="B553" t="n">
        <v>0</v>
      </c>
      <c r="C553" t="n">
        <v>0</v>
      </c>
      <c r="D553" t="n">
        <v>751.6709868893359</v>
      </c>
      <c r="E553">
        <f>C553&lt;0.05</f>
        <v/>
      </c>
      <c r="F553">
        <f>A553=$B$5</f>
        <v/>
      </c>
      <c r="G553">
        <f>IF(E553,A553,10^9)</f>
        <v/>
      </c>
      <c r="H553">
        <f>IF(E553,D553,10^9)</f>
        <v/>
      </c>
    </row>
    <row r="554">
      <c r="A554" t="n">
        <v>546</v>
      </c>
      <c r="B554" t="n">
        <v>0</v>
      </c>
      <c r="C554" t="n">
        <v>0</v>
      </c>
      <c r="D554" t="n">
        <v>752.6709868893359</v>
      </c>
      <c r="E554">
        <f>C554&lt;0.05</f>
        <v/>
      </c>
      <c r="F554">
        <f>A554=$B$5</f>
        <v/>
      </c>
      <c r="G554">
        <f>IF(E554,A554,10^9)</f>
        <v/>
      </c>
      <c r="H554">
        <f>IF(E554,D554,10^9)</f>
        <v/>
      </c>
    </row>
    <row r="555">
      <c r="A555" t="n">
        <v>547</v>
      </c>
      <c r="B555" t="n">
        <v>0</v>
      </c>
      <c r="C555" t="n">
        <v>0</v>
      </c>
      <c r="D555" t="n">
        <v>753.6709868893359</v>
      </c>
      <c r="E555">
        <f>C555&lt;0.05</f>
        <v/>
      </c>
      <c r="F555">
        <f>A555=$B$5</f>
        <v/>
      </c>
      <c r="G555">
        <f>IF(E555,A555,10^9)</f>
        <v/>
      </c>
      <c r="H555">
        <f>IF(E555,D555,10^9)</f>
        <v/>
      </c>
    </row>
    <row r="556">
      <c r="A556" t="n">
        <v>548</v>
      </c>
      <c r="B556" t="n">
        <v>0</v>
      </c>
      <c r="C556" t="n">
        <v>0</v>
      </c>
      <c r="D556" t="n">
        <v>754.6709868893359</v>
      </c>
      <c r="E556">
        <f>C556&lt;0.05</f>
        <v/>
      </c>
      <c r="F556">
        <f>A556=$B$5</f>
        <v/>
      </c>
      <c r="G556">
        <f>IF(E556,A556,10^9)</f>
        <v/>
      </c>
      <c r="H556">
        <f>IF(E556,D556,10^9)</f>
        <v/>
      </c>
    </row>
    <row r="557">
      <c r="A557" t="n">
        <v>549</v>
      </c>
      <c r="B557" t="n">
        <v>0</v>
      </c>
      <c r="C557" t="n">
        <v>0</v>
      </c>
      <c r="D557" t="n">
        <v>755.6709868893359</v>
      </c>
      <c r="E557">
        <f>C557&lt;0.05</f>
        <v/>
      </c>
      <c r="F557">
        <f>A557=$B$5</f>
        <v/>
      </c>
      <c r="G557">
        <f>IF(E557,A557,10^9)</f>
        <v/>
      </c>
      <c r="H557">
        <f>IF(E557,D557,10^9)</f>
        <v/>
      </c>
    </row>
    <row r="558">
      <c r="A558" t="n">
        <v>550</v>
      </c>
      <c r="B558" t="n">
        <v>0</v>
      </c>
      <c r="C558" t="n">
        <v>0</v>
      </c>
      <c r="D558" t="n">
        <v>756.6709868893358</v>
      </c>
      <c r="E558">
        <f>C558&lt;0.05</f>
        <v/>
      </c>
      <c r="F558">
        <f>A558=$B$5</f>
        <v/>
      </c>
      <c r="G558">
        <f>IF(E558,A558,10^9)</f>
        <v/>
      </c>
      <c r="H558">
        <f>IF(E558,D558,10^9)</f>
        <v/>
      </c>
    </row>
    <row r="559">
      <c r="A559" t="n">
        <v>551</v>
      </c>
      <c r="B559" t="n">
        <v>0</v>
      </c>
      <c r="C559" t="n">
        <v>0</v>
      </c>
      <c r="D559" t="n">
        <v>757.6709868893358</v>
      </c>
      <c r="E559">
        <f>C559&lt;0.05</f>
        <v/>
      </c>
      <c r="F559">
        <f>A559=$B$5</f>
        <v/>
      </c>
      <c r="G559">
        <f>IF(E559,A559,10^9)</f>
        <v/>
      </c>
      <c r="H559">
        <f>IF(E559,D559,10^9)</f>
        <v/>
      </c>
    </row>
    <row r="560">
      <c r="A560" t="n">
        <v>552</v>
      </c>
      <c r="B560" t="n">
        <v>0</v>
      </c>
      <c r="C560" t="n">
        <v>0</v>
      </c>
      <c r="D560" t="n">
        <v>758.6709868893358</v>
      </c>
      <c r="E560">
        <f>C560&lt;0.05</f>
        <v/>
      </c>
      <c r="F560">
        <f>A560=$B$5</f>
        <v/>
      </c>
      <c r="G560">
        <f>IF(E560,A560,10^9)</f>
        <v/>
      </c>
      <c r="H560">
        <f>IF(E560,D560,10^9)</f>
        <v/>
      </c>
    </row>
    <row r="561">
      <c r="A561" t="n">
        <v>553</v>
      </c>
      <c r="B561" t="n">
        <v>0</v>
      </c>
      <c r="C561" t="n">
        <v>0</v>
      </c>
      <c r="D561" t="n">
        <v>759.6709868893358</v>
      </c>
      <c r="E561">
        <f>C561&lt;0.05</f>
        <v/>
      </c>
      <c r="F561">
        <f>A561=$B$5</f>
        <v/>
      </c>
      <c r="G561">
        <f>IF(E561,A561,10^9)</f>
        <v/>
      </c>
      <c r="H561">
        <f>IF(E561,D561,10^9)</f>
        <v/>
      </c>
    </row>
    <row r="562">
      <c r="A562" t="n">
        <v>554</v>
      </c>
      <c r="B562" t="n">
        <v>0</v>
      </c>
      <c r="C562" t="n">
        <v>0</v>
      </c>
      <c r="D562" t="n">
        <v>760.6709868893358</v>
      </c>
      <c r="E562">
        <f>C562&lt;0.05</f>
        <v/>
      </c>
      <c r="F562">
        <f>A562=$B$5</f>
        <v/>
      </c>
      <c r="G562">
        <f>IF(E562,A562,10^9)</f>
        <v/>
      </c>
      <c r="H562">
        <f>IF(E562,D562,10^9)</f>
        <v/>
      </c>
    </row>
    <row r="563">
      <c r="A563" t="n">
        <v>555</v>
      </c>
      <c r="B563" t="n">
        <v>0</v>
      </c>
      <c r="C563" t="n">
        <v>0</v>
      </c>
      <c r="D563" t="n">
        <v>761.6709868893358</v>
      </c>
      <c r="E563">
        <f>C563&lt;0.05</f>
        <v/>
      </c>
      <c r="F563">
        <f>A563=$B$5</f>
        <v/>
      </c>
      <c r="G563">
        <f>IF(E563,A563,10^9)</f>
        <v/>
      </c>
      <c r="H563">
        <f>IF(E563,D563,10^9)</f>
        <v/>
      </c>
    </row>
    <row r="564">
      <c r="A564" t="n">
        <v>556</v>
      </c>
      <c r="B564" t="n">
        <v>0</v>
      </c>
      <c r="C564" t="n">
        <v>0</v>
      </c>
      <c r="D564" t="n">
        <v>762.6709868893358</v>
      </c>
      <c r="E564">
        <f>C564&lt;0.05</f>
        <v/>
      </c>
      <c r="F564">
        <f>A564=$B$5</f>
        <v/>
      </c>
      <c r="G564">
        <f>IF(E564,A564,10^9)</f>
        <v/>
      </c>
      <c r="H564">
        <f>IF(E564,D564,10^9)</f>
        <v/>
      </c>
    </row>
    <row r="565">
      <c r="A565" t="n">
        <v>557</v>
      </c>
      <c r="B565" t="n">
        <v>0</v>
      </c>
      <c r="C565" t="n">
        <v>0</v>
      </c>
      <c r="D565" t="n">
        <v>763.6709868893358</v>
      </c>
      <c r="E565">
        <f>C565&lt;0.05</f>
        <v/>
      </c>
      <c r="F565">
        <f>A565=$B$5</f>
        <v/>
      </c>
      <c r="G565">
        <f>IF(E565,A565,10^9)</f>
        <v/>
      </c>
      <c r="H565">
        <f>IF(E565,D565,10^9)</f>
        <v/>
      </c>
    </row>
    <row r="566">
      <c r="A566" t="n">
        <v>558</v>
      </c>
      <c r="B566" t="n">
        <v>0</v>
      </c>
      <c r="C566" t="n">
        <v>0</v>
      </c>
      <c r="D566" t="n">
        <v>764.6709868893358</v>
      </c>
      <c r="E566">
        <f>C566&lt;0.05</f>
        <v/>
      </c>
      <c r="F566">
        <f>A566=$B$5</f>
        <v/>
      </c>
      <c r="G566">
        <f>IF(E566,A566,10^9)</f>
        <v/>
      </c>
      <c r="H566">
        <f>IF(E566,D566,10^9)</f>
        <v/>
      </c>
    </row>
    <row r="567">
      <c r="A567" t="n">
        <v>559</v>
      </c>
      <c r="B567" t="n">
        <v>0</v>
      </c>
      <c r="C567" t="n">
        <v>0</v>
      </c>
      <c r="D567" t="n">
        <v>765.6709868893358</v>
      </c>
      <c r="E567">
        <f>C567&lt;0.05</f>
        <v/>
      </c>
      <c r="F567">
        <f>A567=$B$5</f>
        <v/>
      </c>
      <c r="G567">
        <f>IF(E567,A567,10^9)</f>
        <v/>
      </c>
      <c r="H567">
        <f>IF(E567,D567,10^9)</f>
        <v/>
      </c>
    </row>
    <row r="568">
      <c r="A568" t="n">
        <v>560</v>
      </c>
      <c r="B568" t="n">
        <v>0</v>
      </c>
      <c r="C568" t="n">
        <v>0</v>
      </c>
      <c r="D568" t="n">
        <v>766.6709868893358</v>
      </c>
      <c r="E568">
        <f>C568&lt;0.05</f>
        <v/>
      </c>
      <c r="F568">
        <f>A568=$B$5</f>
        <v/>
      </c>
      <c r="G568">
        <f>IF(E568,A568,10^9)</f>
        <v/>
      </c>
      <c r="H568">
        <f>IF(E568,D568,10^9)</f>
        <v/>
      </c>
    </row>
    <row r="569">
      <c r="A569" t="n">
        <v>561</v>
      </c>
      <c r="B569" t="n">
        <v>0</v>
      </c>
      <c r="C569" t="n">
        <v>0</v>
      </c>
      <c r="D569" t="n">
        <v>767.6709868893358</v>
      </c>
      <c r="E569">
        <f>C569&lt;0.05</f>
        <v/>
      </c>
      <c r="F569">
        <f>A569=$B$5</f>
        <v/>
      </c>
      <c r="G569">
        <f>IF(E569,A569,10^9)</f>
        <v/>
      </c>
      <c r="H569">
        <f>IF(E569,D569,10^9)</f>
        <v/>
      </c>
    </row>
    <row r="570">
      <c r="A570" t="n">
        <v>562</v>
      </c>
      <c r="B570" t="n">
        <v>0</v>
      </c>
      <c r="C570" t="n">
        <v>0</v>
      </c>
      <c r="D570" t="n">
        <v>768.6709868893358</v>
      </c>
      <c r="E570">
        <f>C570&lt;0.05</f>
        <v/>
      </c>
      <c r="F570">
        <f>A570=$B$5</f>
        <v/>
      </c>
      <c r="G570">
        <f>IF(E570,A570,10^9)</f>
        <v/>
      </c>
      <c r="H570">
        <f>IF(E570,D570,10^9)</f>
        <v/>
      </c>
    </row>
    <row r="571">
      <c r="A571" t="n">
        <v>563</v>
      </c>
      <c r="B571" t="n">
        <v>0</v>
      </c>
      <c r="C571" t="n">
        <v>0</v>
      </c>
      <c r="D571" t="n">
        <v>769.6709868893358</v>
      </c>
      <c r="E571">
        <f>C571&lt;0.05</f>
        <v/>
      </c>
      <c r="F571">
        <f>A571=$B$5</f>
        <v/>
      </c>
      <c r="G571">
        <f>IF(E571,A571,10^9)</f>
        <v/>
      </c>
      <c r="H571">
        <f>IF(E571,D571,10^9)</f>
        <v/>
      </c>
    </row>
    <row r="572">
      <c r="A572" t="n">
        <v>564</v>
      </c>
      <c r="B572" t="n">
        <v>0</v>
      </c>
      <c r="C572" t="n">
        <v>0</v>
      </c>
      <c r="D572" t="n">
        <v>770.6709868893358</v>
      </c>
      <c r="E572">
        <f>C572&lt;0.05</f>
        <v/>
      </c>
      <c r="F572">
        <f>A572=$B$5</f>
        <v/>
      </c>
      <c r="G572">
        <f>IF(E572,A572,10^9)</f>
        <v/>
      </c>
      <c r="H572">
        <f>IF(E572,D572,10^9)</f>
        <v/>
      </c>
    </row>
    <row r="573">
      <c r="A573" t="n">
        <v>565</v>
      </c>
      <c r="B573" t="n">
        <v>0</v>
      </c>
      <c r="C573" t="n">
        <v>0</v>
      </c>
      <c r="D573" t="n">
        <v>771.6709868893358</v>
      </c>
      <c r="E573">
        <f>C573&lt;0.05</f>
        <v/>
      </c>
      <c r="F573">
        <f>A573=$B$5</f>
        <v/>
      </c>
      <c r="G573">
        <f>IF(E573,A573,10^9)</f>
        <v/>
      </c>
      <c r="H573">
        <f>IF(E573,D573,10^9)</f>
        <v/>
      </c>
    </row>
    <row r="574">
      <c r="A574" t="n">
        <v>566</v>
      </c>
      <c r="B574" t="n">
        <v>0</v>
      </c>
      <c r="C574" t="n">
        <v>0</v>
      </c>
      <c r="D574" t="n">
        <v>772.6709868893358</v>
      </c>
      <c r="E574">
        <f>C574&lt;0.05</f>
        <v/>
      </c>
      <c r="F574">
        <f>A574=$B$5</f>
        <v/>
      </c>
      <c r="G574">
        <f>IF(E574,A574,10^9)</f>
        <v/>
      </c>
      <c r="H574">
        <f>IF(E574,D574,10^9)</f>
        <v/>
      </c>
    </row>
    <row r="575">
      <c r="A575" t="n">
        <v>567</v>
      </c>
      <c r="B575" t="n">
        <v>0</v>
      </c>
      <c r="C575" t="n">
        <v>0</v>
      </c>
      <c r="D575" t="n">
        <v>773.6709868893358</v>
      </c>
      <c r="E575">
        <f>C575&lt;0.05</f>
        <v/>
      </c>
      <c r="F575">
        <f>A575=$B$5</f>
        <v/>
      </c>
      <c r="G575">
        <f>IF(E575,A575,10^9)</f>
        <v/>
      </c>
      <c r="H575">
        <f>IF(E575,D575,10^9)</f>
        <v/>
      </c>
    </row>
    <row r="576">
      <c r="A576" t="n">
        <v>568</v>
      </c>
      <c r="B576" t="n">
        <v>0</v>
      </c>
      <c r="C576" t="n">
        <v>0</v>
      </c>
      <c r="D576" t="n">
        <v>774.6709868893358</v>
      </c>
      <c r="E576">
        <f>C576&lt;0.05</f>
        <v/>
      </c>
      <c r="F576">
        <f>A576=$B$5</f>
        <v/>
      </c>
      <c r="G576">
        <f>IF(E576,A576,10^9)</f>
        <v/>
      </c>
      <c r="H576">
        <f>IF(E576,D576,10^9)</f>
        <v/>
      </c>
    </row>
    <row r="577">
      <c r="A577" t="n">
        <v>569</v>
      </c>
      <c r="B577" t="n">
        <v>0</v>
      </c>
      <c r="C577" t="n">
        <v>0</v>
      </c>
      <c r="D577" t="n">
        <v>775.6709868893358</v>
      </c>
      <c r="E577">
        <f>C577&lt;0.05</f>
        <v/>
      </c>
      <c r="F577">
        <f>A577=$B$5</f>
        <v/>
      </c>
      <c r="G577">
        <f>IF(E577,A577,10^9)</f>
        <v/>
      </c>
      <c r="H577">
        <f>IF(E577,D577,10^9)</f>
        <v/>
      </c>
    </row>
    <row r="578">
      <c r="A578" t="n">
        <v>570</v>
      </c>
      <c r="B578" t="n">
        <v>0</v>
      </c>
      <c r="C578" t="n">
        <v>0</v>
      </c>
      <c r="D578" t="n">
        <v>776.6709868893358</v>
      </c>
      <c r="E578">
        <f>C578&lt;0.05</f>
        <v/>
      </c>
      <c r="F578">
        <f>A578=$B$5</f>
        <v/>
      </c>
      <c r="G578">
        <f>IF(E578,A578,10^9)</f>
        <v/>
      </c>
      <c r="H578">
        <f>IF(E578,D578,10^9)</f>
        <v/>
      </c>
    </row>
    <row r="579">
      <c r="A579" t="n">
        <v>571</v>
      </c>
      <c r="B579" t="n">
        <v>0</v>
      </c>
      <c r="C579" t="n">
        <v>0</v>
      </c>
      <c r="D579" t="n">
        <v>777.6709868893358</v>
      </c>
      <c r="E579">
        <f>C579&lt;0.05</f>
        <v/>
      </c>
      <c r="F579">
        <f>A579=$B$5</f>
        <v/>
      </c>
      <c r="G579">
        <f>IF(E579,A579,10^9)</f>
        <v/>
      </c>
      <c r="H579">
        <f>IF(E579,D579,10^9)</f>
        <v/>
      </c>
    </row>
    <row r="580">
      <c r="A580" t="n">
        <v>572</v>
      </c>
      <c r="B580" t="n">
        <v>0</v>
      </c>
      <c r="C580" t="n">
        <v>0</v>
      </c>
      <c r="D580" t="n">
        <v>778.6709868893358</v>
      </c>
      <c r="E580">
        <f>C580&lt;0.05</f>
        <v/>
      </c>
      <c r="F580">
        <f>A580=$B$5</f>
        <v/>
      </c>
      <c r="G580">
        <f>IF(E580,A580,10^9)</f>
        <v/>
      </c>
      <c r="H580">
        <f>IF(E580,D580,10^9)</f>
        <v/>
      </c>
    </row>
    <row r="581">
      <c r="A581" t="n">
        <v>573</v>
      </c>
      <c r="B581" t="n">
        <v>0</v>
      </c>
      <c r="C581" t="n">
        <v>0</v>
      </c>
      <c r="D581" t="n">
        <v>779.6709868893358</v>
      </c>
      <c r="E581">
        <f>C581&lt;0.05</f>
        <v/>
      </c>
      <c r="F581">
        <f>A581=$B$5</f>
        <v/>
      </c>
      <c r="G581">
        <f>IF(E581,A581,10^9)</f>
        <v/>
      </c>
      <c r="H581">
        <f>IF(E581,D581,10^9)</f>
        <v/>
      </c>
    </row>
    <row r="582">
      <c r="A582" t="n">
        <v>574</v>
      </c>
      <c r="B582" t="n">
        <v>0</v>
      </c>
      <c r="C582" t="n">
        <v>0</v>
      </c>
      <c r="D582" t="n">
        <v>780.6709868893358</v>
      </c>
      <c r="E582">
        <f>C582&lt;0.05</f>
        <v/>
      </c>
      <c r="F582">
        <f>A582=$B$5</f>
        <v/>
      </c>
      <c r="G582">
        <f>IF(E582,A582,10^9)</f>
        <v/>
      </c>
      <c r="H582">
        <f>IF(E582,D582,10^9)</f>
        <v/>
      </c>
    </row>
    <row r="583">
      <c r="A583" t="n">
        <v>575</v>
      </c>
      <c r="B583" t="n">
        <v>0</v>
      </c>
      <c r="C583" t="n">
        <v>0</v>
      </c>
      <c r="D583" t="n">
        <v>781.6709868893358</v>
      </c>
      <c r="E583">
        <f>C583&lt;0.05</f>
        <v/>
      </c>
      <c r="F583">
        <f>A583=$B$5</f>
        <v/>
      </c>
      <c r="G583">
        <f>IF(E583,A583,10^9)</f>
        <v/>
      </c>
      <c r="H583">
        <f>IF(E583,D583,10^9)</f>
        <v/>
      </c>
    </row>
    <row r="584">
      <c r="A584" t="n">
        <v>576</v>
      </c>
      <c r="B584" t="n">
        <v>0</v>
      </c>
      <c r="C584" t="n">
        <v>0</v>
      </c>
      <c r="D584" t="n">
        <v>782.6709868893358</v>
      </c>
      <c r="E584">
        <f>C584&lt;0.05</f>
        <v/>
      </c>
      <c r="F584">
        <f>A584=$B$5</f>
        <v/>
      </c>
      <c r="G584">
        <f>IF(E584,A584,10^9)</f>
        <v/>
      </c>
      <c r="H584">
        <f>IF(E584,D584,10^9)</f>
        <v/>
      </c>
    </row>
    <row r="585">
      <c r="A585" t="n">
        <v>577</v>
      </c>
      <c r="B585" t="n">
        <v>0</v>
      </c>
      <c r="C585" t="n">
        <v>0</v>
      </c>
      <c r="D585" t="n">
        <v>783.6709868893358</v>
      </c>
      <c r="E585">
        <f>C585&lt;0.05</f>
        <v/>
      </c>
      <c r="F585">
        <f>A585=$B$5</f>
        <v/>
      </c>
      <c r="G585">
        <f>IF(E585,A585,10^9)</f>
        <v/>
      </c>
      <c r="H585">
        <f>IF(E585,D585,10^9)</f>
        <v/>
      </c>
    </row>
    <row r="586">
      <c r="A586" t="n">
        <v>578</v>
      </c>
      <c r="B586" t="n">
        <v>0</v>
      </c>
      <c r="C586" t="n">
        <v>0</v>
      </c>
      <c r="D586" t="n">
        <v>784.6709868893358</v>
      </c>
      <c r="E586">
        <f>C586&lt;0.05</f>
        <v/>
      </c>
      <c r="F586">
        <f>A586=$B$5</f>
        <v/>
      </c>
      <c r="G586">
        <f>IF(E586,A586,10^9)</f>
        <v/>
      </c>
      <c r="H586">
        <f>IF(E586,D586,10^9)</f>
        <v/>
      </c>
    </row>
    <row r="587">
      <c r="A587" t="n">
        <v>579</v>
      </c>
      <c r="B587" t="n">
        <v>0</v>
      </c>
      <c r="C587" t="n">
        <v>0</v>
      </c>
      <c r="D587" t="n">
        <v>785.6709868893358</v>
      </c>
      <c r="E587">
        <f>C587&lt;0.05</f>
        <v/>
      </c>
      <c r="F587">
        <f>A587=$B$5</f>
        <v/>
      </c>
      <c r="G587">
        <f>IF(E587,A587,10^9)</f>
        <v/>
      </c>
      <c r="H587">
        <f>IF(E587,D587,10^9)</f>
        <v/>
      </c>
    </row>
    <row r="588">
      <c r="A588" t="n">
        <v>580</v>
      </c>
      <c r="B588" t="n">
        <v>0</v>
      </c>
      <c r="C588" t="n">
        <v>0</v>
      </c>
      <c r="D588" t="n">
        <v>786.6709868893358</v>
      </c>
      <c r="E588">
        <f>C588&lt;0.05</f>
        <v/>
      </c>
      <c r="F588">
        <f>A588=$B$5</f>
        <v/>
      </c>
      <c r="G588">
        <f>IF(E588,A588,10^9)</f>
        <v/>
      </c>
      <c r="H588">
        <f>IF(E588,D588,10^9)</f>
        <v/>
      </c>
    </row>
    <row r="589">
      <c r="A589" t="n">
        <v>581</v>
      </c>
      <c r="B589" t="n">
        <v>0</v>
      </c>
      <c r="C589" t="n">
        <v>0</v>
      </c>
      <c r="D589" t="n">
        <v>787.6709868893358</v>
      </c>
      <c r="E589">
        <f>C589&lt;0.05</f>
        <v/>
      </c>
      <c r="F589">
        <f>A589=$B$5</f>
        <v/>
      </c>
      <c r="G589">
        <f>IF(E589,A589,10^9)</f>
        <v/>
      </c>
      <c r="H589">
        <f>IF(E589,D589,10^9)</f>
        <v/>
      </c>
    </row>
    <row r="590">
      <c r="A590" t="n">
        <v>582</v>
      </c>
      <c r="B590" t="n">
        <v>0</v>
      </c>
      <c r="C590" t="n">
        <v>0</v>
      </c>
      <c r="D590" t="n">
        <v>788.6709868893358</v>
      </c>
      <c r="E590">
        <f>C590&lt;0.05</f>
        <v/>
      </c>
      <c r="F590">
        <f>A590=$B$5</f>
        <v/>
      </c>
      <c r="G590">
        <f>IF(E590,A590,10^9)</f>
        <v/>
      </c>
      <c r="H590">
        <f>IF(E590,D590,10^9)</f>
        <v/>
      </c>
    </row>
    <row r="591">
      <c r="A591" t="n">
        <v>583</v>
      </c>
      <c r="B591" t="n">
        <v>0</v>
      </c>
      <c r="C591" t="n">
        <v>0</v>
      </c>
      <c r="D591" t="n">
        <v>789.6709868893358</v>
      </c>
      <c r="E591">
        <f>C591&lt;0.05</f>
        <v/>
      </c>
      <c r="F591">
        <f>A591=$B$5</f>
        <v/>
      </c>
      <c r="G591">
        <f>IF(E591,A591,10^9)</f>
        <v/>
      </c>
      <c r="H591">
        <f>IF(E591,D591,10^9)</f>
        <v/>
      </c>
    </row>
    <row r="592">
      <c r="A592" t="n">
        <v>584</v>
      </c>
      <c r="B592" t="n">
        <v>0</v>
      </c>
      <c r="C592" t="n">
        <v>0</v>
      </c>
      <c r="D592" t="n">
        <v>790.6709868893358</v>
      </c>
      <c r="E592">
        <f>C592&lt;0.05</f>
        <v/>
      </c>
      <c r="F592">
        <f>A592=$B$5</f>
        <v/>
      </c>
      <c r="G592">
        <f>IF(E592,A592,10^9)</f>
        <v/>
      </c>
      <c r="H592">
        <f>IF(E592,D592,10^9)</f>
        <v/>
      </c>
    </row>
    <row r="593">
      <c r="A593" t="n">
        <v>585</v>
      </c>
      <c r="B593" t="n">
        <v>0</v>
      </c>
      <c r="C593" t="n">
        <v>0</v>
      </c>
      <c r="D593" t="n">
        <v>791.6709868893358</v>
      </c>
      <c r="E593">
        <f>C593&lt;0.05</f>
        <v/>
      </c>
      <c r="F593">
        <f>A593=$B$5</f>
        <v/>
      </c>
      <c r="G593">
        <f>IF(E593,A593,10^9)</f>
        <v/>
      </c>
      <c r="H593">
        <f>IF(E593,D593,10^9)</f>
        <v/>
      </c>
    </row>
    <row r="594">
      <c r="A594" t="n">
        <v>586</v>
      </c>
      <c r="B594" t="n">
        <v>0</v>
      </c>
      <c r="C594" t="n">
        <v>0</v>
      </c>
      <c r="D594" t="n">
        <v>792.6709868893358</v>
      </c>
      <c r="E594">
        <f>C594&lt;0.05</f>
        <v/>
      </c>
      <c r="F594">
        <f>A594=$B$5</f>
        <v/>
      </c>
      <c r="G594">
        <f>IF(E594,A594,10^9)</f>
        <v/>
      </c>
      <c r="H594">
        <f>IF(E594,D594,10^9)</f>
        <v/>
      </c>
    </row>
    <row r="595">
      <c r="A595" t="n">
        <v>587</v>
      </c>
      <c r="B595" t="n">
        <v>0</v>
      </c>
      <c r="C595" t="n">
        <v>0</v>
      </c>
      <c r="D595" t="n">
        <v>793.6709868893358</v>
      </c>
      <c r="E595">
        <f>C595&lt;0.05</f>
        <v/>
      </c>
      <c r="F595">
        <f>A595=$B$5</f>
        <v/>
      </c>
      <c r="G595">
        <f>IF(E595,A595,10^9)</f>
        <v/>
      </c>
      <c r="H595">
        <f>IF(E595,D595,10^9)</f>
        <v/>
      </c>
    </row>
    <row r="596">
      <c r="A596" t="n">
        <v>588</v>
      </c>
      <c r="B596" t="n">
        <v>0</v>
      </c>
      <c r="C596" t="n">
        <v>0</v>
      </c>
      <c r="D596" t="n">
        <v>794.6709868893358</v>
      </c>
      <c r="E596">
        <f>C596&lt;0.05</f>
        <v/>
      </c>
      <c r="F596">
        <f>A596=$B$5</f>
        <v/>
      </c>
      <c r="G596">
        <f>IF(E596,A596,10^9)</f>
        <v/>
      </c>
      <c r="H596">
        <f>IF(E596,D596,10^9)</f>
        <v/>
      </c>
    </row>
    <row r="597">
      <c r="A597" t="n">
        <v>589</v>
      </c>
      <c r="B597" t="n">
        <v>0</v>
      </c>
      <c r="C597" t="n">
        <v>0</v>
      </c>
      <c r="D597" t="n">
        <v>795.6709868893358</v>
      </c>
      <c r="E597">
        <f>C597&lt;0.05</f>
        <v/>
      </c>
      <c r="F597">
        <f>A597=$B$5</f>
        <v/>
      </c>
      <c r="G597">
        <f>IF(E597,A597,10^9)</f>
        <v/>
      </c>
      <c r="H597">
        <f>IF(E597,D597,10^9)</f>
        <v/>
      </c>
    </row>
    <row r="598">
      <c r="A598" t="n">
        <v>590</v>
      </c>
      <c r="B598" t="n">
        <v>0</v>
      </c>
      <c r="C598" t="n">
        <v>0</v>
      </c>
      <c r="D598" t="n">
        <v>796.6709868893358</v>
      </c>
      <c r="E598">
        <f>C598&lt;0.05</f>
        <v/>
      </c>
      <c r="F598">
        <f>A598=$B$5</f>
        <v/>
      </c>
      <c r="G598">
        <f>IF(E598,A598,10^9)</f>
        <v/>
      </c>
      <c r="H598">
        <f>IF(E598,D598,10^9)</f>
        <v/>
      </c>
    </row>
    <row r="599">
      <c r="A599" t="n">
        <v>591</v>
      </c>
      <c r="B599" t="n">
        <v>0</v>
      </c>
      <c r="C599" t="n">
        <v>0</v>
      </c>
      <c r="D599" t="n">
        <v>797.6709868893358</v>
      </c>
      <c r="E599">
        <f>C599&lt;0.05</f>
        <v/>
      </c>
      <c r="F599">
        <f>A599=$B$5</f>
        <v/>
      </c>
      <c r="G599">
        <f>IF(E599,A599,10^9)</f>
        <v/>
      </c>
      <c r="H599">
        <f>IF(E599,D599,10^9)</f>
        <v/>
      </c>
    </row>
    <row r="600">
      <c r="A600" t="n">
        <v>592</v>
      </c>
      <c r="B600" t="n">
        <v>0</v>
      </c>
      <c r="C600" t="n">
        <v>0</v>
      </c>
      <c r="D600" t="n">
        <v>798.6709868893358</v>
      </c>
      <c r="E600">
        <f>C600&lt;0.05</f>
        <v/>
      </c>
      <c r="F600">
        <f>A600=$B$5</f>
        <v/>
      </c>
      <c r="G600">
        <f>IF(E600,A600,10^9)</f>
        <v/>
      </c>
      <c r="H600">
        <f>IF(E600,D600,10^9)</f>
        <v/>
      </c>
    </row>
    <row r="601">
      <c r="A601" t="n">
        <v>593</v>
      </c>
      <c r="B601" t="n">
        <v>0</v>
      </c>
      <c r="C601" t="n">
        <v>0</v>
      </c>
      <c r="D601" t="n">
        <v>799.6709868893358</v>
      </c>
      <c r="E601">
        <f>C601&lt;0.05</f>
        <v/>
      </c>
      <c r="F601">
        <f>A601=$B$5</f>
        <v/>
      </c>
      <c r="G601">
        <f>IF(E601,A601,10^9)</f>
        <v/>
      </c>
      <c r="H601">
        <f>IF(E601,D601,10^9)</f>
        <v/>
      </c>
    </row>
    <row r="602">
      <c r="A602" t="n">
        <v>594</v>
      </c>
      <c r="B602" t="n">
        <v>0</v>
      </c>
      <c r="C602" t="n">
        <v>0</v>
      </c>
      <c r="D602" t="n">
        <v>800.6709868893358</v>
      </c>
      <c r="E602">
        <f>C602&lt;0.05</f>
        <v/>
      </c>
      <c r="F602">
        <f>A602=$B$5</f>
        <v/>
      </c>
      <c r="G602">
        <f>IF(E602,A602,10^9)</f>
        <v/>
      </c>
      <c r="H602">
        <f>IF(E602,D602,10^9)</f>
        <v/>
      </c>
    </row>
    <row r="603">
      <c r="A603" t="n">
        <v>595</v>
      </c>
      <c r="B603" t="n">
        <v>0</v>
      </c>
      <c r="C603" t="n">
        <v>0</v>
      </c>
      <c r="D603" t="n">
        <v>801.6709868893358</v>
      </c>
      <c r="E603">
        <f>C603&lt;0.05</f>
        <v/>
      </c>
      <c r="F603">
        <f>A603=$B$5</f>
        <v/>
      </c>
      <c r="G603">
        <f>IF(E603,A603,10^9)</f>
        <v/>
      </c>
      <c r="H603">
        <f>IF(E603,D603,10^9)</f>
        <v/>
      </c>
    </row>
    <row r="604">
      <c r="A604" t="n">
        <v>596</v>
      </c>
      <c r="B604" t="n">
        <v>0</v>
      </c>
      <c r="C604" t="n">
        <v>0</v>
      </c>
      <c r="D604" t="n">
        <v>802.6709868893358</v>
      </c>
      <c r="E604">
        <f>C604&lt;0.05</f>
        <v/>
      </c>
      <c r="F604">
        <f>A604=$B$5</f>
        <v/>
      </c>
      <c r="G604">
        <f>IF(E604,A604,10^9)</f>
        <v/>
      </c>
      <c r="H604">
        <f>IF(E604,D604,10^9)</f>
        <v/>
      </c>
    </row>
    <row r="605">
      <c r="A605" t="n">
        <v>597</v>
      </c>
      <c r="B605" t="n">
        <v>0</v>
      </c>
      <c r="C605" t="n">
        <v>0</v>
      </c>
      <c r="D605" t="n">
        <v>803.6709868893358</v>
      </c>
      <c r="E605">
        <f>C605&lt;0.05</f>
        <v/>
      </c>
      <c r="F605">
        <f>A605=$B$5</f>
        <v/>
      </c>
      <c r="G605">
        <f>IF(E605,A605,10^9)</f>
        <v/>
      </c>
      <c r="H605">
        <f>IF(E605,D605,10^9)</f>
        <v/>
      </c>
    </row>
    <row r="606">
      <c r="A606" t="n">
        <v>598</v>
      </c>
      <c r="B606" t="n">
        <v>0</v>
      </c>
      <c r="C606" t="n">
        <v>0</v>
      </c>
      <c r="D606" t="n">
        <v>804.6709868893358</v>
      </c>
      <c r="E606">
        <f>C606&lt;0.05</f>
        <v/>
      </c>
      <c r="F606">
        <f>A606=$B$5</f>
        <v/>
      </c>
      <c r="G606">
        <f>IF(E606,A606,10^9)</f>
        <v/>
      </c>
      <c r="H606">
        <f>IF(E606,D606,10^9)</f>
        <v/>
      </c>
    </row>
    <row r="607">
      <c r="A607" t="n">
        <v>599</v>
      </c>
      <c r="B607" t="n">
        <v>0</v>
      </c>
      <c r="C607" t="n">
        <v>0</v>
      </c>
      <c r="D607" t="n">
        <v>805.6709868893358</v>
      </c>
      <c r="E607">
        <f>C607&lt;0.05</f>
        <v/>
      </c>
      <c r="F607">
        <f>A607=$B$5</f>
        <v/>
      </c>
      <c r="G607">
        <f>IF(E607,A607,10^9)</f>
        <v/>
      </c>
      <c r="H607">
        <f>IF(E607,D607,10^9)</f>
        <v/>
      </c>
    </row>
    <row r="608">
      <c r="A608" t="n">
        <v>600</v>
      </c>
      <c r="B608" t="n">
        <v>0</v>
      </c>
      <c r="C608" t="n">
        <v>0</v>
      </c>
      <c r="D608" t="n">
        <v>806.6709868893358</v>
      </c>
      <c r="E608">
        <f>C608&lt;0.05</f>
        <v/>
      </c>
      <c r="F608">
        <f>A608=$B$5</f>
        <v/>
      </c>
      <c r="G608">
        <f>IF(E608,A608,10^9)</f>
        <v/>
      </c>
      <c r="H608">
        <f>IF(E608,D608,10^9)</f>
        <v/>
      </c>
    </row>
    <row r="609">
      <c r="A609" t="n">
        <v>601</v>
      </c>
      <c r="B609" t="n">
        <v>0</v>
      </c>
      <c r="C609" t="n">
        <v>0</v>
      </c>
      <c r="D609" t="n">
        <v>807.6709868893358</v>
      </c>
      <c r="E609">
        <f>C609&lt;0.05</f>
        <v/>
      </c>
      <c r="F609">
        <f>A609=$B$5</f>
        <v/>
      </c>
      <c r="G609">
        <f>IF(E609,A609,10^9)</f>
        <v/>
      </c>
      <c r="H609">
        <f>IF(E609,D609,10^9)</f>
        <v/>
      </c>
    </row>
    <row r="610">
      <c r="A610" t="n">
        <v>602</v>
      </c>
      <c r="B610" t="n">
        <v>0</v>
      </c>
      <c r="C610" t="n">
        <v>0</v>
      </c>
      <c r="D610" t="n">
        <v>808.6709868893358</v>
      </c>
      <c r="E610">
        <f>C610&lt;0.05</f>
        <v/>
      </c>
      <c r="F610">
        <f>A610=$B$5</f>
        <v/>
      </c>
      <c r="G610">
        <f>IF(E610,A610,10^9)</f>
        <v/>
      </c>
      <c r="H610">
        <f>IF(E610,D610,10^9)</f>
        <v/>
      </c>
    </row>
    <row r="611">
      <c r="A611" t="n">
        <v>603</v>
      </c>
      <c r="B611" t="n">
        <v>0</v>
      </c>
      <c r="C611" t="n">
        <v>0</v>
      </c>
      <c r="D611" t="n">
        <v>809.6709868893358</v>
      </c>
      <c r="E611">
        <f>C611&lt;0.05</f>
        <v/>
      </c>
      <c r="F611">
        <f>A611=$B$5</f>
        <v/>
      </c>
      <c r="G611">
        <f>IF(E611,A611,10^9)</f>
        <v/>
      </c>
      <c r="H611">
        <f>IF(E611,D611,10^9)</f>
        <v/>
      </c>
    </row>
    <row r="612">
      <c r="A612" t="n">
        <v>604</v>
      </c>
      <c r="B612" t="n">
        <v>0</v>
      </c>
      <c r="C612" t="n">
        <v>0</v>
      </c>
      <c r="D612" t="n">
        <v>810.6709868893358</v>
      </c>
      <c r="E612">
        <f>C612&lt;0.05</f>
        <v/>
      </c>
      <c r="F612">
        <f>A612=$B$5</f>
        <v/>
      </c>
      <c r="G612">
        <f>IF(E612,A612,10^9)</f>
        <v/>
      </c>
      <c r="H612">
        <f>IF(E612,D612,10^9)</f>
        <v/>
      </c>
    </row>
    <row r="613">
      <c r="A613" t="n">
        <v>605</v>
      </c>
      <c r="B613" t="n">
        <v>0</v>
      </c>
      <c r="C613" t="n">
        <v>0</v>
      </c>
      <c r="D613" t="n">
        <v>811.6709868893358</v>
      </c>
      <c r="E613">
        <f>C613&lt;0.05</f>
        <v/>
      </c>
      <c r="F613">
        <f>A613=$B$5</f>
        <v/>
      </c>
      <c r="G613">
        <f>IF(E613,A613,10^9)</f>
        <v/>
      </c>
      <c r="H613">
        <f>IF(E613,D613,10^9)</f>
        <v/>
      </c>
    </row>
    <row r="614">
      <c r="A614" t="n">
        <v>606</v>
      </c>
      <c r="B614" t="n">
        <v>0</v>
      </c>
      <c r="C614" t="n">
        <v>0</v>
      </c>
      <c r="D614" t="n">
        <v>812.6709868893358</v>
      </c>
      <c r="E614">
        <f>C614&lt;0.05</f>
        <v/>
      </c>
      <c r="F614">
        <f>A614=$B$5</f>
        <v/>
      </c>
      <c r="G614">
        <f>IF(E614,A614,10^9)</f>
        <v/>
      </c>
      <c r="H614">
        <f>IF(E614,D614,10^9)</f>
        <v/>
      </c>
    </row>
    <row r="615">
      <c r="A615" t="n">
        <v>607</v>
      </c>
      <c r="B615" t="n">
        <v>0</v>
      </c>
      <c r="C615" t="n">
        <v>0</v>
      </c>
      <c r="D615" t="n">
        <v>813.6709868893358</v>
      </c>
      <c r="E615">
        <f>C615&lt;0.05</f>
        <v/>
      </c>
      <c r="F615">
        <f>A615=$B$5</f>
        <v/>
      </c>
      <c r="G615">
        <f>IF(E615,A615,10^9)</f>
        <v/>
      </c>
      <c r="H615">
        <f>IF(E615,D615,10^9)</f>
        <v/>
      </c>
    </row>
    <row r="616">
      <c r="A616" t="n">
        <v>608</v>
      </c>
      <c r="B616" t="n">
        <v>0</v>
      </c>
      <c r="C616" t="n">
        <v>0</v>
      </c>
      <c r="D616" t="n">
        <v>814.6709868893358</v>
      </c>
      <c r="E616">
        <f>C616&lt;0.05</f>
        <v/>
      </c>
      <c r="F616">
        <f>A616=$B$5</f>
        <v/>
      </c>
      <c r="G616">
        <f>IF(E616,A616,10^9)</f>
        <v/>
      </c>
      <c r="H616">
        <f>IF(E616,D616,10^9)</f>
        <v/>
      </c>
    </row>
    <row r="617">
      <c r="A617" t="n">
        <v>609</v>
      </c>
      <c r="B617" t="n">
        <v>0</v>
      </c>
      <c r="C617" t="n">
        <v>0</v>
      </c>
      <c r="D617" t="n">
        <v>815.6709868893358</v>
      </c>
      <c r="E617">
        <f>C617&lt;0.05</f>
        <v/>
      </c>
      <c r="F617">
        <f>A617=$B$5</f>
        <v/>
      </c>
      <c r="G617">
        <f>IF(E617,A617,10^9)</f>
        <v/>
      </c>
      <c r="H617">
        <f>IF(E617,D617,10^9)</f>
        <v/>
      </c>
    </row>
    <row r="618">
      <c r="A618" t="n">
        <v>610</v>
      </c>
      <c r="B618" t="n">
        <v>0</v>
      </c>
      <c r="C618" t="n">
        <v>0</v>
      </c>
      <c r="D618" t="n">
        <v>816.6709868893358</v>
      </c>
      <c r="E618">
        <f>C618&lt;0.05</f>
        <v/>
      </c>
      <c r="F618">
        <f>A618=$B$5</f>
        <v/>
      </c>
      <c r="G618">
        <f>IF(E618,A618,10^9)</f>
        <v/>
      </c>
      <c r="H618">
        <f>IF(E618,D618,10^9)</f>
        <v/>
      </c>
    </row>
    <row r="619">
      <c r="A619" t="n">
        <v>611</v>
      </c>
      <c r="B619" t="n">
        <v>0</v>
      </c>
      <c r="C619" t="n">
        <v>0</v>
      </c>
      <c r="D619" t="n">
        <v>817.6709868893358</v>
      </c>
      <c r="E619">
        <f>C619&lt;0.05</f>
        <v/>
      </c>
      <c r="F619">
        <f>A619=$B$5</f>
        <v/>
      </c>
      <c r="G619">
        <f>IF(E619,A619,10^9)</f>
        <v/>
      </c>
      <c r="H619">
        <f>IF(E619,D619,10^9)</f>
        <v/>
      </c>
    </row>
    <row r="620">
      <c r="A620" t="n">
        <v>612</v>
      </c>
      <c r="B620" t="n">
        <v>0</v>
      </c>
      <c r="C620" t="n">
        <v>0</v>
      </c>
      <c r="D620" t="n">
        <v>818.6709868893358</v>
      </c>
      <c r="E620">
        <f>C620&lt;0.05</f>
        <v/>
      </c>
      <c r="F620">
        <f>A620=$B$5</f>
        <v/>
      </c>
      <c r="G620">
        <f>IF(E620,A620,10^9)</f>
        <v/>
      </c>
      <c r="H620">
        <f>IF(E620,D620,10^9)</f>
        <v/>
      </c>
    </row>
    <row r="621">
      <c r="A621" t="n">
        <v>613</v>
      </c>
      <c r="B621" t="n">
        <v>0</v>
      </c>
      <c r="C621" t="n">
        <v>0</v>
      </c>
      <c r="D621" t="n">
        <v>819.6709868893358</v>
      </c>
      <c r="E621">
        <f>C621&lt;0.05</f>
        <v/>
      </c>
      <c r="F621">
        <f>A621=$B$5</f>
        <v/>
      </c>
      <c r="G621">
        <f>IF(E621,A621,10^9)</f>
        <v/>
      </c>
      <c r="H621">
        <f>IF(E621,D621,10^9)</f>
        <v/>
      </c>
    </row>
    <row r="622">
      <c r="A622" t="n">
        <v>614</v>
      </c>
      <c r="B622" t="n">
        <v>0</v>
      </c>
      <c r="C622" t="n">
        <v>0</v>
      </c>
      <c r="D622" t="n">
        <v>820.6709868893358</v>
      </c>
      <c r="E622">
        <f>C622&lt;0.05</f>
        <v/>
      </c>
      <c r="F622">
        <f>A622=$B$5</f>
        <v/>
      </c>
      <c r="G622">
        <f>IF(E622,A622,10^9)</f>
        <v/>
      </c>
      <c r="H622">
        <f>IF(E622,D622,10^9)</f>
        <v/>
      </c>
    </row>
    <row r="623">
      <c r="A623" t="n">
        <v>615</v>
      </c>
      <c r="B623" t="n">
        <v>0</v>
      </c>
      <c r="C623" t="n">
        <v>0</v>
      </c>
      <c r="D623" t="n">
        <v>821.6709868893358</v>
      </c>
      <c r="E623">
        <f>C623&lt;0.05</f>
        <v/>
      </c>
      <c r="F623">
        <f>A623=$B$5</f>
        <v/>
      </c>
      <c r="G623">
        <f>IF(E623,A623,10^9)</f>
        <v/>
      </c>
      <c r="H623">
        <f>IF(E623,D623,10^9)</f>
        <v/>
      </c>
    </row>
    <row r="624">
      <c r="A624" t="n">
        <v>616</v>
      </c>
      <c r="B624" t="n">
        <v>0</v>
      </c>
      <c r="C624" t="n">
        <v>0</v>
      </c>
      <c r="D624" t="n">
        <v>822.6709868893358</v>
      </c>
      <c r="E624">
        <f>C624&lt;0.05</f>
        <v/>
      </c>
      <c r="F624">
        <f>A624=$B$5</f>
        <v/>
      </c>
      <c r="G624">
        <f>IF(E624,A624,10^9)</f>
        <v/>
      </c>
      <c r="H624">
        <f>IF(E624,D624,10^9)</f>
        <v/>
      </c>
    </row>
    <row r="625">
      <c r="A625" t="n">
        <v>617</v>
      </c>
      <c r="B625" t="n">
        <v>0</v>
      </c>
      <c r="C625" t="n">
        <v>0</v>
      </c>
      <c r="D625" t="n">
        <v>823.6709868893358</v>
      </c>
      <c r="E625">
        <f>C625&lt;0.05</f>
        <v/>
      </c>
      <c r="F625">
        <f>A625=$B$5</f>
        <v/>
      </c>
      <c r="G625">
        <f>IF(E625,A625,10^9)</f>
        <v/>
      </c>
      <c r="H625">
        <f>IF(E625,D625,10^9)</f>
        <v/>
      </c>
    </row>
    <row r="626">
      <c r="A626" t="n">
        <v>618</v>
      </c>
      <c r="B626" t="n">
        <v>0</v>
      </c>
      <c r="C626" t="n">
        <v>0</v>
      </c>
      <c r="D626" t="n">
        <v>824.6709868893357</v>
      </c>
      <c r="E626">
        <f>C626&lt;0.05</f>
        <v/>
      </c>
      <c r="F626">
        <f>A626=$B$5</f>
        <v/>
      </c>
      <c r="G626">
        <f>IF(E626,A626,10^9)</f>
        <v/>
      </c>
      <c r="H626">
        <f>IF(E626,D626,10^9)</f>
        <v/>
      </c>
    </row>
    <row r="627">
      <c r="A627" t="n">
        <v>619</v>
      </c>
      <c r="B627" t="n">
        <v>0</v>
      </c>
      <c r="C627" t="n">
        <v>0</v>
      </c>
      <c r="D627" t="n">
        <v>825.6709868893357</v>
      </c>
      <c r="E627">
        <f>C627&lt;0.05</f>
        <v/>
      </c>
      <c r="F627">
        <f>A627=$B$5</f>
        <v/>
      </c>
      <c r="G627">
        <f>IF(E627,A627,10^9)</f>
        <v/>
      </c>
      <c r="H627">
        <f>IF(E627,D627,10^9)</f>
        <v/>
      </c>
    </row>
    <row r="628">
      <c r="A628" t="n">
        <v>620</v>
      </c>
      <c r="B628" t="n">
        <v>0</v>
      </c>
      <c r="C628" t="n">
        <v>0</v>
      </c>
      <c r="D628" t="n">
        <v>826.6709868893357</v>
      </c>
      <c r="E628">
        <f>C628&lt;0.05</f>
        <v/>
      </c>
      <c r="F628">
        <f>A628=$B$5</f>
        <v/>
      </c>
      <c r="G628">
        <f>IF(E628,A628,10^9)</f>
        <v/>
      </c>
      <c r="H628">
        <f>IF(E628,D628,10^9)</f>
        <v/>
      </c>
    </row>
    <row r="629">
      <c r="A629" t="n">
        <v>621</v>
      </c>
      <c r="B629" t="n">
        <v>0</v>
      </c>
      <c r="C629" t="n">
        <v>0</v>
      </c>
      <c r="D629" t="n">
        <v>827.6709868893357</v>
      </c>
      <c r="E629">
        <f>C629&lt;0.05</f>
        <v/>
      </c>
      <c r="F629">
        <f>A629=$B$5</f>
        <v/>
      </c>
      <c r="G629">
        <f>IF(E629,A629,10^9)</f>
        <v/>
      </c>
      <c r="H629">
        <f>IF(E629,D629,10^9)</f>
        <v/>
      </c>
    </row>
    <row r="630">
      <c r="A630" t="n">
        <v>622</v>
      </c>
      <c r="B630" t="n">
        <v>0</v>
      </c>
      <c r="C630" t="n">
        <v>0</v>
      </c>
      <c r="D630" t="n">
        <v>828.6709868893357</v>
      </c>
      <c r="E630">
        <f>C630&lt;0.05</f>
        <v/>
      </c>
      <c r="F630">
        <f>A630=$B$5</f>
        <v/>
      </c>
      <c r="G630">
        <f>IF(E630,A630,10^9)</f>
        <v/>
      </c>
      <c r="H630">
        <f>IF(E630,D630,10^9)</f>
        <v/>
      </c>
    </row>
    <row r="631">
      <c r="A631" t="n">
        <v>623</v>
      </c>
      <c r="B631" t="n">
        <v>0</v>
      </c>
      <c r="C631" t="n">
        <v>0</v>
      </c>
      <c r="D631" t="n">
        <v>829.6709868893357</v>
      </c>
      <c r="E631">
        <f>C631&lt;0.05</f>
        <v/>
      </c>
      <c r="F631">
        <f>A631=$B$5</f>
        <v/>
      </c>
      <c r="G631">
        <f>IF(E631,A631,10^9)</f>
        <v/>
      </c>
      <c r="H631">
        <f>IF(E631,D631,10^9)</f>
        <v/>
      </c>
    </row>
    <row r="632">
      <c r="A632" t="n">
        <v>624</v>
      </c>
      <c r="B632" t="n">
        <v>0</v>
      </c>
      <c r="C632" t="n">
        <v>0</v>
      </c>
      <c r="D632" t="n">
        <v>830.6709868893357</v>
      </c>
      <c r="E632">
        <f>C632&lt;0.05</f>
        <v/>
      </c>
      <c r="F632">
        <f>A632=$B$5</f>
        <v/>
      </c>
      <c r="G632">
        <f>IF(E632,A632,10^9)</f>
        <v/>
      </c>
      <c r="H632">
        <f>IF(E632,D632,10^9)</f>
        <v/>
      </c>
    </row>
    <row r="633">
      <c r="A633" t="n">
        <v>625</v>
      </c>
      <c r="B633" t="n">
        <v>0</v>
      </c>
      <c r="C633" t="n">
        <v>0</v>
      </c>
      <c r="D633" t="n">
        <v>831.6709868893357</v>
      </c>
      <c r="E633">
        <f>C633&lt;0.05</f>
        <v/>
      </c>
      <c r="F633">
        <f>A633=$B$5</f>
        <v/>
      </c>
      <c r="G633">
        <f>IF(E633,A633,10^9)</f>
        <v/>
      </c>
      <c r="H633">
        <f>IF(E633,D633,10^9)</f>
        <v/>
      </c>
    </row>
    <row r="634">
      <c r="A634" t="n">
        <v>626</v>
      </c>
      <c r="B634" t="n">
        <v>0</v>
      </c>
      <c r="C634" t="n">
        <v>0</v>
      </c>
      <c r="D634" t="n">
        <v>832.6709868893357</v>
      </c>
      <c r="E634">
        <f>C634&lt;0.05</f>
        <v/>
      </c>
      <c r="F634">
        <f>A634=$B$5</f>
        <v/>
      </c>
      <c r="G634">
        <f>IF(E634,A634,10^9)</f>
        <v/>
      </c>
      <c r="H634">
        <f>IF(E634,D634,10^9)</f>
        <v/>
      </c>
    </row>
    <row r="635">
      <c r="A635" t="n">
        <v>627</v>
      </c>
      <c r="B635" t="n">
        <v>0</v>
      </c>
      <c r="C635" t="n">
        <v>0</v>
      </c>
      <c r="D635" t="n">
        <v>833.6709868893357</v>
      </c>
      <c r="E635">
        <f>C635&lt;0.05</f>
        <v/>
      </c>
      <c r="F635">
        <f>A635=$B$5</f>
        <v/>
      </c>
      <c r="G635">
        <f>IF(E635,A635,10^9)</f>
        <v/>
      </c>
      <c r="H635">
        <f>IF(E635,D635,10^9)</f>
        <v/>
      </c>
    </row>
    <row r="636">
      <c r="A636" t="n">
        <v>628</v>
      </c>
      <c r="B636" t="n">
        <v>0</v>
      </c>
      <c r="C636" t="n">
        <v>0</v>
      </c>
      <c r="D636" t="n">
        <v>834.6709868893357</v>
      </c>
      <c r="E636">
        <f>C636&lt;0.05</f>
        <v/>
      </c>
      <c r="F636">
        <f>A636=$B$5</f>
        <v/>
      </c>
      <c r="G636">
        <f>IF(E636,A636,10^9)</f>
        <v/>
      </c>
      <c r="H636">
        <f>IF(E636,D636,10^9)</f>
        <v/>
      </c>
    </row>
    <row r="637">
      <c r="A637" t="n">
        <v>629</v>
      </c>
      <c r="B637" t="n">
        <v>0</v>
      </c>
      <c r="C637" t="n">
        <v>0</v>
      </c>
      <c r="D637" t="n">
        <v>835.6709868893357</v>
      </c>
      <c r="E637">
        <f>C637&lt;0.05</f>
        <v/>
      </c>
      <c r="F637">
        <f>A637=$B$5</f>
        <v/>
      </c>
      <c r="G637">
        <f>IF(E637,A637,10^9)</f>
        <v/>
      </c>
      <c r="H637">
        <f>IF(E637,D637,10^9)</f>
        <v/>
      </c>
    </row>
    <row r="638">
      <c r="A638" t="n">
        <v>630</v>
      </c>
      <c r="B638" t="n">
        <v>0</v>
      </c>
      <c r="C638" t="n">
        <v>0</v>
      </c>
      <c r="D638" t="n">
        <v>836.6709868893357</v>
      </c>
      <c r="E638">
        <f>C638&lt;0.05</f>
        <v/>
      </c>
      <c r="F638">
        <f>A638=$B$5</f>
        <v/>
      </c>
      <c r="G638">
        <f>IF(E638,A638,10^9)</f>
        <v/>
      </c>
      <c r="H638">
        <f>IF(E638,D638,10^9)</f>
        <v/>
      </c>
    </row>
    <row r="639">
      <c r="A639" t="n">
        <v>631</v>
      </c>
      <c r="B639" t="n">
        <v>0</v>
      </c>
      <c r="C639" t="n">
        <v>0</v>
      </c>
      <c r="D639" t="n">
        <v>837.6709868893357</v>
      </c>
      <c r="E639">
        <f>C639&lt;0.05</f>
        <v/>
      </c>
      <c r="F639">
        <f>A639=$B$5</f>
        <v/>
      </c>
      <c r="G639">
        <f>IF(E639,A639,10^9)</f>
        <v/>
      </c>
      <c r="H639">
        <f>IF(E639,D639,10^9)</f>
        <v/>
      </c>
    </row>
    <row r="640">
      <c r="A640" t="n">
        <v>632</v>
      </c>
      <c r="B640" t="n">
        <v>0</v>
      </c>
      <c r="C640" t="n">
        <v>0</v>
      </c>
      <c r="D640" t="n">
        <v>838.6709868893357</v>
      </c>
      <c r="E640">
        <f>C640&lt;0.05</f>
        <v/>
      </c>
      <c r="F640">
        <f>A640=$B$5</f>
        <v/>
      </c>
      <c r="G640">
        <f>IF(E640,A640,10^9)</f>
        <v/>
      </c>
      <c r="H640">
        <f>IF(E640,D640,10^9)</f>
        <v/>
      </c>
    </row>
    <row r="641">
      <c r="A641" t="n">
        <v>633</v>
      </c>
      <c r="B641" t="n">
        <v>0</v>
      </c>
      <c r="C641" t="n">
        <v>0</v>
      </c>
      <c r="D641" t="n">
        <v>839.6709868893357</v>
      </c>
      <c r="E641">
        <f>C641&lt;0.05</f>
        <v/>
      </c>
      <c r="F641">
        <f>A641=$B$5</f>
        <v/>
      </c>
      <c r="G641">
        <f>IF(E641,A641,10^9)</f>
        <v/>
      </c>
      <c r="H641">
        <f>IF(E641,D641,10^9)</f>
        <v/>
      </c>
    </row>
    <row r="642">
      <c r="A642" t="n">
        <v>634</v>
      </c>
      <c r="B642" t="n">
        <v>0</v>
      </c>
      <c r="C642" t="n">
        <v>0</v>
      </c>
      <c r="D642" t="n">
        <v>840.6709868893357</v>
      </c>
      <c r="E642">
        <f>C642&lt;0.05</f>
        <v/>
      </c>
      <c r="F642">
        <f>A642=$B$5</f>
        <v/>
      </c>
      <c r="G642">
        <f>IF(E642,A642,10^9)</f>
        <v/>
      </c>
      <c r="H642">
        <f>IF(E642,D642,10^9)</f>
        <v/>
      </c>
    </row>
    <row r="643">
      <c r="A643" t="n">
        <v>635</v>
      </c>
      <c r="B643" t="n">
        <v>0</v>
      </c>
      <c r="C643" t="n">
        <v>0</v>
      </c>
      <c r="D643" t="n">
        <v>841.6709868893357</v>
      </c>
      <c r="E643">
        <f>C643&lt;0.05</f>
        <v/>
      </c>
      <c r="F643">
        <f>A643=$B$5</f>
        <v/>
      </c>
      <c r="G643">
        <f>IF(E643,A643,10^9)</f>
        <v/>
      </c>
      <c r="H643">
        <f>IF(E643,D643,10^9)</f>
        <v/>
      </c>
    </row>
    <row r="644">
      <c r="A644" t="n">
        <v>636</v>
      </c>
      <c r="B644" t="n">
        <v>0</v>
      </c>
      <c r="C644" t="n">
        <v>0</v>
      </c>
      <c r="D644" t="n">
        <v>842.6709868893357</v>
      </c>
      <c r="E644">
        <f>C644&lt;0.05</f>
        <v/>
      </c>
      <c r="F644">
        <f>A644=$B$5</f>
        <v/>
      </c>
      <c r="G644">
        <f>IF(E644,A644,10^9)</f>
        <v/>
      </c>
      <c r="H644">
        <f>IF(E644,D644,10^9)</f>
        <v/>
      </c>
    </row>
    <row r="645">
      <c r="A645" t="n">
        <v>637</v>
      </c>
      <c r="B645" t="n">
        <v>0</v>
      </c>
      <c r="C645" t="n">
        <v>0</v>
      </c>
      <c r="D645" t="n">
        <v>843.6709868893357</v>
      </c>
      <c r="E645">
        <f>C645&lt;0.05</f>
        <v/>
      </c>
      <c r="F645">
        <f>A645=$B$5</f>
        <v/>
      </c>
      <c r="G645">
        <f>IF(E645,A645,10^9)</f>
        <v/>
      </c>
      <c r="H645">
        <f>IF(E645,D645,10^9)</f>
        <v/>
      </c>
    </row>
    <row r="646">
      <c r="A646" t="n">
        <v>638</v>
      </c>
      <c r="B646" t="n">
        <v>0</v>
      </c>
      <c r="C646" t="n">
        <v>0</v>
      </c>
      <c r="D646" t="n">
        <v>844.6709868893357</v>
      </c>
      <c r="E646">
        <f>C646&lt;0.05</f>
        <v/>
      </c>
      <c r="F646">
        <f>A646=$B$5</f>
        <v/>
      </c>
      <c r="G646">
        <f>IF(E646,A646,10^9)</f>
        <v/>
      </c>
      <c r="H646">
        <f>IF(E646,D646,10^9)</f>
        <v/>
      </c>
    </row>
    <row r="647">
      <c r="A647" t="n">
        <v>639</v>
      </c>
      <c r="B647" t="n">
        <v>0</v>
      </c>
      <c r="C647" t="n">
        <v>0</v>
      </c>
      <c r="D647" t="n">
        <v>845.6709868893357</v>
      </c>
      <c r="E647">
        <f>C647&lt;0.05</f>
        <v/>
      </c>
      <c r="F647">
        <f>A647=$B$5</f>
        <v/>
      </c>
      <c r="G647">
        <f>IF(E647,A647,10^9)</f>
        <v/>
      </c>
      <c r="H647">
        <f>IF(E647,D647,10^9)</f>
        <v/>
      </c>
    </row>
    <row r="648">
      <c r="A648" t="n">
        <v>640</v>
      </c>
      <c r="B648" t="n">
        <v>0</v>
      </c>
      <c r="C648" t="n">
        <v>0</v>
      </c>
      <c r="D648" t="n">
        <v>846.6709868893357</v>
      </c>
      <c r="E648">
        <f>C648&lt;0.05</f>
        <v/>
      </c>
      <c r="F648">
        <f>A648=$B$5</f>
        <v/>
      </c>
      <c r="G648">
        <f>IF(E648,A648,10^9)</f>
        <v/>
      </c>
      <c r="H648">
        <f>IF(E648,D648,10^9)</f>
        <v/>
      </c>
    </row>
    <row r="649">
      <c r="A649" t="n">
        <v>641</v>
      </c>
      <c r="B649" t="n">
        <v>0</v>
      </c>
      <c r="C649" t="n">
        <v>0</v>
      </c>
      <c r="D649" t="n">
        <v>847.6709868893357</v>
      </c>
      <c r="E649">
        <f>C649&lt;0.05</f>
        <v/>
      </c>
      <c r="F649">
        <f>A649=$B$5</f>
        <v/>
      </c>
      <c r="G649">
        <f>IF(E649,A649,10^9)</f>
        <v/>
      </c>
      <c r="H649">
        <f>IF(E649,D649,10^9)</f>
        <v/>
      </c>
    </row>
    <row r="650">
      <c r="A650" t="n">
        <v>642</v>
      </c>
      <c r="B650" t="n">
        <v>0</v>
      </c>
      <c r="C650" t="n">
        <v>0</v>
      </c>
      <c r="D650" t="n">
        <v>848.6709868893357</v>
      </c>
      <c r="E650">
        <f>C650&lt;0.05</f>
        <v/>
      </c>
      <c r="F650">
        <f>A650=$B$5</f>
        <v/>
      </c>
      <c r="G650">
        <f>IF(E650,A650,10^9)</f>
        <v/>
      </c>
      <c r="H650">
        <f>IF(E650,D650,10^9)</f>
        <v/>
      </c>
    </row>
    <row r="651">
      <c r="A651" t="n">
        <v>643</v>
      </c>
      <c r="B651" t="n">
        <v>0</v>
      </c>
      <c r="C651" t="n">
        <v>0</v>
      </c>
      <c r="D651" t="n">
        <v>849.6709868893357</v>
      </c>
      <c r="E651">
        <f>C651&lt;0.05</f>
        <v/>
      </c>
      <c r="F651">
        <f>A651=$B$5</f>
        <v/>
      </c>
      <c r="G651">
        <f>IF(E651,A651,10^9)</f>
        <v/>
      </c>
      <c r="H651">
        <f>IF(E651,D651,10^9)</f>
        <v/>
      </c>
    </row>
    <row r="652">
      <c r="A652" t="n">
        <v>644</v>
      </c>
      <c r="B652" t="n">
        <v>0</v>
      </c>
      <c r="C652" t="n">
        <v>0</v>
      </c>
      <c r="D652" t="n">
        <v>850.6709868893357</v>
      </c>
      <c r="E652">
        <f>C652&lt;0.05</f>
        <v/>
      </c>
      <c r="F652">
        <f>A652=$B$5</f>
        <v/>
      </c>
      <c r="G652">
        <f>IF(E652,A652,10^9)</f>
        <v/>
      </c>
      <c r="H652">
        <f>IF(E652,D652,10^9)</f>
        <v/>
      </c>
    </row>
    <row r="653">
      <c r="A653" t="n">
        <v>645</v>
      </c>
      <c r="B653" t="n">
        <v>0</v>
      </c>
      <c r="C653" t="n">
        <v>0</v>
      </c>
      <c r="D653" t="n">
        <v>851.6709868893357</v>
      </c>
      <c r="E653">
        <f>C653&lt;0.05</f>
        <v/>
      </c>
      <c r="F653">
        <f>A653=$B$5</f>
        <v/>
      </c>
      <c r="G653">
        <f>IF(E653,A653,10^9)</f>
        <v/>
      </c>
      <c r="H653">
        <f>IF(E653,D653,10^9)</f>
        <v/>
      </c>
    </row>
    <row r="654">
      <c r="A654" t="n">
        <v>646</v>
      </c>
      <c r="B654" t="n">
        <v>0</v>
      </c>
      <c r="C654" t="n">
        <v>0</v>
      </c>
      <c r="D654" t="n">
        <v>852.6709868893357</v>
      </c>
      <c r="E654">
        <f>C654&lt;0.05</f>
        <v/>
      </c>
      <c r="F654">
        <f>A654=$B$5</f>
        <v/>
      </c>
      <c r="G654">
        <f>IF(E654,A654,10^9)</f>
        <v/>
      </c>
      <c r="H654">
        <f>IF(E654,D654,10^9)</f>
        <v/>
      </c>
    </row>
    <row r="655">
      <c r="A655" t="n">
        <v>647</v>
      </c>
      <c r="B655" t="n">
        <v>0</v>
      </c>
      <c r="C655" t="n">
        <v>0</v>
      </c>
      <c r="D655" t="n">
        <v>853.6709868893357</v>
      </c>
      <c r="E655">
        <f>C655&lt;0.05</f>
        <v/>
      </c>
      <c r="F655">
        <f>A655=$B$5</f>
        <v/>
      </c>
      <c r="G655">
        <f>IF(E655,A655,10^9)</f>
        <v/>
      </c>
      <c r="H655">
        <f>IF(E655,D655,10^9)</f>
        <v/>
      </c>
    </row>
    <row r="656">
      <c r="A656" t="n">
        <v>648</v>
      </c>
      <c r="B656" t="n">
        <v>0</v>
      </c>
      <c r="C656" t="n">
        <v>0</v>
      </c>
      <c r="D656" t="n">
        <v>854.6709868893357</v>
      </c>
      <c r="E656">
        <f>C656&lt;0.05</f>
        <v/>
      </c>
      <c r="F656">
        <f>A656=$B$5</f>
        <v/>
      </c>
      <c r="G656">
        <f>IF(E656,A656,10^9)</f>
        <v/>
      </c>
      <c r="H656">
        <f>IF(E656,D656,10^9)</f>
        <v/>
      </c>
    </row>
    <row r="657">
      <c r="A657" t="n">
        <v>649</v>
      </c>
      <c r="B657" t="n">
        <v>0</v>
      </c>
      <c r="C657" t="n">
        <v>0</v>
      </c>
      <c r="D657" t="n">
        <v>855.6709868893357</v>
      </c>
      <c r="E657">
        <f>C657&lt;0.05</f>
        <v/>
      </c>
      <c r="F657">
        <f>A657=$B$5</f>
        <v/>
      </c>
      <c r="G657">
        <f>IF(E657,A657,10^9)</f>
        <v/>
      </c>
      <c r="H657">
        <f>IF(E657,D657,10^9)</f>
        <v/>
      </c>
    </row>
    <row r="658">
      <c r="A658" t="n">
        <v>650</v>
      </c>
      <c r="B658" t="n">
        <v>0</v>
      </c>
      <c r="C658" t="n">
        <v>0</v>
      </c>
      <c r="D658" t="n">
        <v>856.6709868893357</v>
      </c>
      <c r="E658">
        <f>C658&lt;0.05</f>
        <v/>
      </c>
      <c r="F658">
        <f>A658=$B$5</f>
        <v/>
      </c>
      <c r="G658">
        <f>IF(E658,A658,10^9)</f>
        <v/>
      </c>
      <c r="H658">
        <f>IF(E658,D658,10^9)</f>
        <v/>
      </c>
    </row>
    <row r="659">
      <c r="A659" t="n">
        <v>651</v>
      </c>
      <c r="B659" t="n">
        <v>0</v>
      </c>
      <c r="C659" t="n">
        <v>0</v>
      </c>
      <c r="D659" t="n">
        <v>857.6709868893357</v>
      </c>
      <c r="E659">
        <f>C659&lt;0.05</f>
        <v/>
      </c>
      <c r="F659">
        <f>A659=$B$5</f>
        <v/>
      </c>
      <c r="G659">
        <f>IF(E659,A659,10^9)</f>
        <v/>
      </c>
      <c r="H659">
        <f>IF(E659,D659,10^9)</f>
        <v/>
      </c>
    </row>
    <row r="660">
      <c r="A660" t="n">
        <v>652</v>
      </c>
      <c r="B660" t="n">
        <v>0</v>
      </c>
      <c r="C660" t="n">
        <v>0</v>
      </c>
      <c r="D660" t="n">
        <v>858.6709868893357</v>
      </c>
      <c r="E660">
        <f>C660&lt;0.05</f>
        <v/>
      </c>
      <c r="F660">
        <f>A660=$B$5</f>
        <v/>
      </c>
      <c r="G660">
        <f>IF(E660,A660,10^9)</f>
        <v/>
      </c>
      <c r="H660">
        <f>IF(E660,D660,10^9)</f>
        <v/>
      </c>
    </row>
    <row r="661">
      <c r="A661" t="n">
        <v>653</v>
      </c>
      <c r="B661" t="n">
        <v>0</v>
      </c>
      <c r="C661" t="n">
        <v>0</v>
      </c>
      <c r="D661" t="n">
        <v>859.6709868893357</v>
      </c>
      <c r="E661">
        <f>C661&lt;0.05</f>
        <v/>
      </c>
      <c r="F661">
        <f>A661=$B$5</f>
        <v/>
      </c>
      <c r="G661">
        <f>IF(E661,A661,10^9)</f>
        <v/>
      </c>
      <c r="H661">
        <f>IF(E661,D661,10^9)</f>
        <v/>
      </c>
    </row>
    <row r="662">
      <c r="A662" t="n">
        <v>654</v>
      </c>
      <c r="B662" t="n">
        <v>0</v>
      </c>
      <c r="C662" t="n">
        <v>0</v>
      </c>
      <c r="D662" t="n">
        <v>860.6709868893357</v>
      </c>
      <c r="E662">
        <f>C662&lt;0.05</f>
        <v/>
      </c>
      <c r="F662">
        <f>A662=$B$5</f>
        <v/>
      </c>
      <c r="G662">
        <f>IF(E662,A662,10^9)</f>
        <v/>
      </c>
      <c r="H662">
        <f>IF(E662,D662,10^9)</f>
        <v/>
      </c>
    </row>
    <row r="663">
      <c r="A663" t="n">
        <v>655</v>
      </c>
      <c r="B663" t="n">
        <v>0</v>
      </c>
      <c r="C663" t="n">
        <v>0</v>
      </c>
      <c r="D663" t="n">
        <v>861.6709868893357</v>
      </c>
      <c r="E663">
        <f>C663&lt;0.05</f>
        <v/>
      </c>
      <c r="F663">
        <f>A663=$B$5</f>
        <v/>
      </c>
      <c r="G663">
        <f>IF(E663,A663,10^9)</f>
        <v/>
      </c>
      <c r="H663">
        <f>IF(E663,D663,10^9)</f>
        <v/>
      </c>
    </row>
    <row r="664">
      <c r="A664" t="n">
        <v>656</v>
      </c>
      <c r="B664" t="n">
        <v>0</v>
      </c>
      <c r="C664" t="n">
        <v>0</v>
      </c>
      <c r="D664" t="n">
        <v>862.6709868893357</v>
      </c>
      <c r="E664">
        <f>C664&lt;0.05</f>
        <v/>
      </c>
      <c r="F664">
        <f>A664=$B$5</f>
        <v/>
      </c>
      <c r="G664">
        <f>IF(E664,A664,10^9)</f>
        <v/>
      </c>
      <c r="H664">
        <f>IF(E664,D664,10^9)</f>
        <v/>
      </c>
    </row>
    <row r="665">
      <c r="A665" t="n">
        <v>657</v>
      </c>
      <c r="B665" t="n">
        <v>0</v>
      </c>
      <c r="C665" t="n">
        <v>0</v>
      </c>
      <c r="D665" t="n">
        <v>863.6709868893357</v>
      </c>
      <c r="E665">
        <f>C665&lt;0.05</f>
        <v/>
      </c>
      <c r="F665">
        <f>A665=$B$5</f>
        <v/>
      </c>
      <c r="G665">
        <f>IF(E665,A665,10^9)</f>
        <v/>
      </c>
      <c r="H665">
        <f>IF(E665,D665,10^9)</f>
        <v/>
      </c>
    </row>
    <row r="666">
      <c r="A666" t="n">
        <v>658</v>
      </c>
      <c r="B666" t="n">
        <v>0</v>
      </c>
      <c r="C666" t="n">
        <v>0</v>
      </c>
      <c r="D666" t="n">
        <v>864.6709868893357</v>
      </c>
      <c r="E666">
        <f>C666&lt;0.05</f>
        <v/>
      </c>
      <c r="F666">
        <f>A666=$B$5</f>
        <v/>
      </c>
      <c r="G666">
        <f>IF(E666,A666,10^9)</f>
        <v/>
      </c>
      <c r="H666">
        <f>IF(E666,D666,10^9)</f>
        <v/>
      </c>
    </row>
    <row r="667">
      <c r="A667" t="n">
        <v>659</v>
      </c>
      <c r="B667" t="n">
        <v>0</v>
      </c>
      <c r="C667" t="n">
        <v>0</v>
      </c>
      <c r="D667" t="n">
        <v>865.6709868893357</v>
      </c>
      <c r="E667">
        <f>C667&lt;0.05</f>
        <v/>
      </c>
      <c r="F667">
        <f>A667=$B$5</f>
        <v/>
      </c>
      <c r="G667">
        <f>IF(E667,A667,10^9)</f>
        <v/>
      </c>
      <c r="H667">
        <f>IF(E667,D667,10^9)</f>
        <v/>
      </c>
    </row>
    <row r="668">
      <c r="A668" t="n">
        <v>660</v>
      </c>
      <c r="B668" t="n">
        <v>0</v>
      </c>
      <c r="C668" t="n">
        <v>0</v>
      </c>
      <c r="D668" t="n">
        <v>866.6709868893357</v>
      </c>
      <c r="E668">
        <f>C668&lt;0.05</f>
        <v/>
      </c>
      <c r="F668">
        <f>A668=$B$5</f>
        <v/>
      </c>
      <c r="G668">
        <f>IF(E668,A668,10^9)</f>
        <v/>
      </c>
      <c r="H668">
        <f>IF(E668,D668,10^9)</f>
        <v/>
      </c>
    </row>
    <row r="669">
      <c r="A669" t="n">
        <v>661</v>
      </c>
      <c r="B669" t="n">
        <v>0</v>
      </c>
      <c r="C669" t="n">
        <v>0</v>
      </c>
      <c r="D669" t="n">
        <v>867.6709868893357</v>
      </c>
      <c r="E669">
        <f>C669&lt;0.05</f>
        <v/>
      </c>
      <c r="F669">
        <f>A669=$B$5</f>
        <v/>
      </c>
      <c r="G669">
        <f>IF(E669,A669,10^9)</f>
        <v/>
      </c>
      <c r="H669">
        <f>IF(E669,D669,10^9)</f>
        <v/>
      </c>
    </row>
    <row r="670">
      <c r="A670" t="n">
        <v>662</v>
      </c>
      <c r="B670" t="n">
        <v>0</v>
      </c>
      <c r="C670" t="n">
        <v>0</v>
      </c>
      <c r="D670" t="n">
        <v>868.6709868893357</v>
      </c>
      <c r="E670">
        <f>C670&lt;0.05</f>
        <v/>
      </c>
      <c r="F670">
        <f>A670=$B$5</f>
        <v/>
      </c>
      <c r="G670">
        <f>IF(E670,A670,10^9)</f>
        <v/>
      </c>
      <c r="H670">
        <f>IF(E670,D670,10^9)</f>
        <v/>
      </c>
    </row>
    <row r="671">
      <c r="A671" t="n">
        <v>663</v>
      </c>
      <c r="B671" t="n">
        <v>0</v>
      </c>
      <c r="C671" t="n">
        <v>0</v>
      </c>
      <c r="D671" t="n">
        <v>869.6709868893357</v>
      </c>
      <c r="E671">
        <f>C671&lt;0.05</f>
        <v/>
      </c>
      <c r="F671">
        <f>A671=$B$5</f>
        <v/>
      </c>
      <c r="G671">
        <f>IF(E671,A671,10^9)</f>
        <v/>
      </c>
      <c r="H671">
        <f>IF(E671,D671,10^9)</f>
        <v/>
      </c>
    </row>
    <row r="672">
      <c r="A672" t="n">
        <v>664</v>
      </c>
      <c r="B672" t="n">
        <v>0</v>
      </c>
      <c r="C672" t="n">
        <v>0</v>
      </c>
      <c r="D672" t="n">
        <v>870.6709868893357</v>
      </c>
      <c r="E672">
        <f>C672&lt;0.05</f>
        <v/>
      </c>
      <c r="F672">
        <f>A672=$B$5</f>
        <v/>
      </c>
      <c r="G672">
        <f>IF(E672,A672,10^9)</f>
        <v/>
      </c>
      <c r="H672">
        <f>IF(E672,D672,10^9)</f>
        <v/>
      </c>
    </row>
    <row r="673">
      <c r="A673" t="n">
        <v>665</v>
      </c>
      <c r="B673" t="n">
        <v>0</v>
      </c>
      <c r="C673" t="n">
        <v>0</v>
      </c>
      <c r="D673" t="n">
        <v>871.6709868893357</v>
      </c>
      <c r="E673">
        <f>C673&lt;0.05</f>
        <v/>
      </c>
      <c r="F673">
        <f>A673=$B$5</f>
        <v/>
      </c>
      <c r="G673">
        <f>IF(E673,A673,10^9)</f>
        <v/>
      </c>
      <c r="H673">
        <f>IF(E673,D673,10^9)</f>
        <v/>
      </c>
    </row>
    <row r="674">
      <c r="A674" t="n">
        <v>666</v>
      </c>
      <c r="B674" t="n">
        <v>0</v>
      </c>
      <c r="C674" t="n">
        <v>0</v>
      </c>
      <c r="D674" t="n">
        <v>872.6709868893357</v>
      </c>
      <c r="E674">
        <f>C674&lt;0.05</f>
        <v/>
      </c>
      <c r="F674">
        <f>A674=$B$5</f>
        <v/>
      </c>
      <c r="G674">
        <f>IF(E674,A674,10^9)</f>
        <v/>
      </c>
      <c r="H674">
        <f>IF(E674,D674,10^9)</f>
        <v/>
      </c>
    </row>
    <row r="675">
      <c r="A675" t="n">
        <v>667</v>
      </c>
      <c r="B675" t="n">
        <v>0</v>
      </c>
      <c r="C675" t="n">
        <v>0</v>
      </c>
      <c r="D675" t="n">
        <v>873.6709868893357</v>
      </c>
      <c r="E675">
        <f>C675&lt;0.05</f>
        <v/>
      </c>
      <c r="F675">
        <f>A675=$B$5</f>
        <v/>
      </c>
      <c r="G675">
        <f>IF(E675,A675,10^9)</f>
        <v/>
      </c>
      <c r="H675">
        <f>IF(E675,D675,10^9)</f>
        <v/>
      </c>
    </row>
    <row r="676">
      <c r="A676" t="n">
        <v>668</v>
      </c>
      <c r="B676" t="n">
        <v>0</v>
      </c>
      <c r="C676" t="n">
        <v>0</v>
      </c>
      <c r="D676" t="n">
        <v>874.6709868893357</v>
      </c>
      <c r="E676">
        <f>C676&lt;0.05</f>
        <v/>
      </c>
      <c r="F676">
        <f>A676=$B$5</f>
        <v/>
      </c>
      <c r="G676">
        <f>IF(E676,A676,10^9)</f>
        <v/>
      </c>
      <c r="H676">
        <f>IF(E676,D676,10^9)</f>
        <v/>
      </c>
    </row>
    <row r="677">
      <c r="A677" t="n">
        <v>669</v>
      </c>
      <c r="B677" t="n">
        <v>0</v>
      </c>
      <c r="C677" t="n">
        <v>0</v>
      </c>
      <c r="D677" t="n">
        <v>875.6709868893357</v>
      </c>
      <c r="E677">
        <f>C677&lt;0.05</f>
        <v/>
      </c>
      <c r="F677">
        <f>A677=$B$5</f>
        <v/>
      </c>
      <c r="G677">
        <f>IF(E677,A677,10^9)</f>
        <v/>
      </c>
      <c r="H677">
        <f>IF(E677,D677,10^9)</f>
        <v/>
      </c>
    </row>
    <row r="678">
      <c r="A678" t="n">
        <v>670</v>
      </c>
      <c r="B678" t="n">
        <v>0</v>
      </c>
      <c r="C678" t="n">
        <v>0</v>
      </c>
      <c r="D678" t="n">
        <v>876.6709868893357</v>
      </c>
      <c r="E678">
        <f>C678&lt;0.05</f>
        <v/>
      </c>
      <c r="F678">
        <f>A678=$B$5</f>
        <v/>
      </c>
      <c r="G678">
        <f>IF(E678,A678,10^9)</f>
        <v/>
      </c>
      <c r="H678">
        <f>IF(E678,D678,10^9)</f>
        <v/>
      </c>
    </row>
    <row r="679">
      <c r="A679" t="n">
        <v>671</v>
      </c>
      <c r="B679" t="n">
        <v>0</v>
      </c>
      <c r="C679" t="n">
        <v>0</v>
      </c>
      <c r="D679" t="n">
        <v>877.6709868893357</v>
      </c>
      <c r="E679">
        <f>C679&lt;0.05</f>
        <v/>
      </c>
      <c r="F679">
        <f>A679=$B$5</f>
        <v/>
      </c>
      <c r="G679">
        <f>IF(E679,A679,10^9)</f>
        <v/>
      </c>
      <c r="H679">
        <f>IF(E679,D679,10^9)</f>
        <v/>
      </c>
    </row>
    <row r="680">
      <c r="A680" t="n">
        <v>672</v>
      </c>
      <c r="B680" t="n">
        <v>0</v>
      </c>
      <c r="C680" t="n">
        <v>0</v>
      </c>
      <c r="D680" t="n">
        <v>878.6709868893357</v>
      </c>
      <c r="E680">
        <f>C680&lt;0.05</f>
        <v/>
      </c>
      <c r="F680">
        <f>A680=$B$5</f>
        <v/>
      </c>
      <c r="G680">
        <f>IF(E680,A680,10^9)</f>
        <v/>
      </c>
      <c r="H680">
        <f>IF(E680,D680,10^9)</f>
        <v/>
      </c>
    </row>
    <row r="681">
      <c r="A681" t="n">
        <v>673</v>
      </c>
      <c r="B681" t="n">
        <v>0</v>
      </c>
      <c r="C681" t="n">
        <v>0</v>
      </c>
      <c r="D681" t="n">
        <v>879.6709868893357</v>
      </c>
      <c r="E681">
        <f>C681&lt;0.05</f>
        <v/>
      </c>
      <c r="F681">
        <f>A681=$B$5</f>
        <v/>
      </c>
      <c r="G681">
        <f>IF(E681,A681,10^9)</f>
        <v/>
      </c>
      <c r="H681">
        <f>IF(E681,D681,10^9)</f>
        <v/>
      </c>
    </row>
    <row r="682">
      <c r="A682" t="n">
        <v>674</v>
      </c>
      <c r="B682" t="n">
        <v>0</v>
      </c>
      <c r="C682" t="n">
        <v>0</v>
      </c>
      <c r="D682" t="n">
        <v>880.6709868893357</v>
      </c>
      <c r="E682">
        <f>C682&lt;0.05</f>
        <v/>
      </c>
      <c r="F682">
        <f>A682=$B$5</f>
        <v/>
      </c>
      <c r="G682">
        <f>IF(E682,A682,10^9)</f>
        <v/>
      </c>
      <c r="H682">
        <f>IF(E682,D682,10^9)</f>
        <v/>
      </c>
    </row>
    <row r="683">
      <c r="A683" t="n">
        <v>675</v>
      </c>
      <c r="B683" t="n">
        <v>0</v>
      </c>
      <c r="C683" t="n">
        <v>0</v>
      </c>
      <c r="D683" t="n">
        <v>881.6709868893357</v>
      </c>
      <c r="E683">
        <f>C683&lt;0.05</f>
        <v/>
      </c>
      <c r="F683">
        <f>A683=$B$5</f>
        <v/>
      </c>
      <c r="G683">
        <f>IF(E683,A683,10^9)</f>
        <v/>
      </c>
      <c r="H683">
        <f>IF(E683,D683,10^9)</f>
        <v/>
      </c>
    </row>
    <row r="684">
      <c r="A684" t="n">
        <v>676</v>
      </c>
      <c r="B684" t="n">
        <v>0</v>
      </c>
      <c r="C684" t="n">
        <v>0</v>
      </c>
      <c r="D684" t="n">
        <v>882.6709868893357</v>
      </c>
      <c r="E684">
        <f>C684&lt;0.05</f>
        <v/>
      </c>
      <c r="F684">
        <f>A684=$B$5</f>
        <v/>
      </c>
      <c r="G684">
        <f>IF(E684,A684,10^9)</f>
        <v/>
      </c>
      <c r="H684">
        <f>IF(E684,D684,10^9)</f>
        <v/>
      </c>
    </row>
    <row r="685">
      <c r="A685" t="n">
        <v>677</v>
      </c>
      <c r="B685" t="n">
        <v>0</v>
      </c>
      <c r="C685" t="n">
        <v>0</v>
      </c>
      <c r="D685" t="n">
        <v>883.6709868893357</v>
      </c>
      <c r="E685">
        <f>C685&lt;0.05</f>
        <v/>
      </c>
      <c r="F685">
        <f>A685=$B$5</f>
        <v/>
      </c>
      <c r="G685">
        <f>IF(E685,A685,10^9)</f>
        <v/>
      </c>
      <c r="H685">
        <f>IF(E685,D685,10^9)</f>
        <v/>
      </c>
    </row>
    <row r="686">
      <c r="A686" t="n">
        <v>678</v>
      </c>
      <c r="B686" t="n">
        <v>0</v>
      </c>
      <c r="C686" t="n">
        <v>0</v>
      </c>
      <c r="D686" t="n">
        <v>884.6709868893357</v>
      </c>
      <c r="E686">
        <f>C686&lt;0.05</f>
        <v/>
      </c>
      <c r="F686">
        <f>A686=$B$5</f>
        <v/>
      </c>
      <c r="G686">
        <f>IF(E686,A686,10^9)</f>
        <v/>
      </c>
      <c r="H686">
        <f>IF(E686,D686,10^9)</f>
        <v/>
      </c>
    </row>
    <row r="687">
      <c r="A687" t="n">
        <v>679</v>
      </c>
      <c r="B687" t="n">
        <v>0</v>
      </c>
      <c r="C687" t="n">
        <v>0</v>
      </c>
      <c r="D687" t="n">
        <v>885.6709868893357</v>
      </c>
      <c r="E687">
        <f>C687&lt;0.05</f>
        <v/>
      </c>
      <c r="F687">
        <f>A687=$B$5</f>
        <v/>
      </c>
      <c r="G687">
        <f>IF(E687,A687,10^9)</f>
        <v/>
      </c>
      <c r="H687">
        <f>IF(E687,D687,10^9)</f>
        <v/>
      </c>
    </row>
    <row r="688">
      <c r="A688" t="n">
        <v>680</v>
      </c>
      <c r="B688" t="n">
        <v>0</v>
      </c>
      <c r="C688" t="n">
        <v>0</v>
      </c>
      <c r="D688" t="n">
        <v>886.6709868893357</v>
      </c>
      <c r="E688">
        <f>C688&lt;0.05</f>
        <v/>
      </c>
      <c r="F688">
        <f>A688=$B$5</f>
        <v/>
      </c>
      <c r="G688">
        <f>IF(E688,A688,10^9)</f>
        <v/>
      </c>
      <c r="H688">
        <f>IF(E688,D688,10^9)</f>
        <v/>
      </c>
    </row>
    <row r="689">
      <c r="A689" t="n">
        <v>681</v>
      </c>
      <c r="B689" t="n">
        <v>0</v>
      </c>
      <c r="C689" t="n">
        <v>0</v>
      </c>
      <c r="D689" t="n">
        <v>887.6709868893357</v>
      </c>
      <c r="E689">
        <f>C689&lt;0.05</f>
        <v/>
      </c>
      <c r="F689">
        <f>A689=$B$5</f>
        <v/>
      </c>
      <c r="G689">
        <f>IF(E689,A689,10^9)</f>
        <v/>
      </c>
      <c r="H689">
        <f>IF(E689,D689,10^9)</f>
        <v/>
      </c>
    </row>
    <row r="690">
      <c r="A690" t="n">
        <v>682</v>
      </c>
      <c r="B690" t="n">
        <v>0</v>
      </c>
      <c r="C690" t="n">
        <v>0</v>
      </c>
      <c r="D690" t="n">
        <v>888.6709868893357</v>
      </c>
      <c r="E690">
        <f>C690&lt;0.05</f>
        <v/>
      </c>
      <c r="F690">
        <f>A690=$B$5</f>
        <v/>
      </c>
      <c r="G690">
        <f>IF(E690,A690,10^9)</f>
        <v/>
      </c>
      <c r="H690">
        <f>IF(E690,D690,10^9)</f>
        <v/>
      </c>
    </row>
    <row r="691">
      <c r="A691" t="n">
        <v>683</v>
      </c>
      <c r="B691" t="n">
        <v>0</v>
      </c>
      <c r="C691" t="n">
        <v>0</v>
      </c>
      <c r="D691" t="n">
        <v>889.6709868893357</v>
      </c>
      <c r="E691">
        <f>C691&lt;0.05</f>
        <v/>
      </c>
      <c r="F691">
        <f>A691=$B$5</f>
        <v/>
      </c>
      <c r="G691">
        <f>IF(E691,A691,10^9)</f>
        <v/>
      </c>
      <c r="H691">
        <f>IF(E691,D691,10^9)</f>
        <v/>
      </c>
    </row>
    <row r="692">
      <c r="A692" t="n">
        <v>684</v>
      </c>
      <c r="B692" t="n">
        <v>0</v>
      </c>
      <c r="C692" t="n">
        <v>0</v>
      </c>
      <c r="D692" t="n">
        <v>890.6709868893357</v>
      </c>
      <c r="E692">
        <f>C692&lt;0.05</f>
        <v/>
      </c>
      <c r="F692">
        <f>A692=$B$5</f>
        <v/>
      </c>
      <c r="G692">
        <f>IF(E692,A692,10^9)</f>
        <v/>
      </c>
      <c r="H692">
        <f>IF(E692,D692,10^9)</f>
        <v/>
      </c>
    </row>
    <row r="693">
      <c r="A693" t="n">
        <v>685</v>
      </c>
      <c r="B693" t="n">
        <v>0</v>
      </c>
      <c r="C693" t="n">
        <v>0</v>
      </c>
      <c r="D693" t="n">
        <v>891.6709868893357</v>
      </c>
      <c r="E693">
        <f>C693&lt;0.05</f>
        <v/>
      </c>
      <c r="F693">
        <f>A693=$B$5</f>
        <v/>
      </c>
      <c r="G693">
        <f>IF(E693,A693,10^9)</f>
        <v/>
      </c>
      <c r="H693">
        <f>IF(E693,D693,10^9)</f>
        <v/>
      </c>
    </row>
    <row r="694">
      <c r="A694" t="n">
        <v>686</v>
      </c>
      <c r="B694" t="n">
        <v>0</v>
      </c>
      <c r="C694" t="n">
        <v>0</v>
      </c>
      <c r="D694" t="n">
        <v>892.6709868893357</v>
      </c>
      <c r="E694">
        <f>C694&lt;0.05</f>
        <v/>
      </c>
      <c r="F694">
        <f>A694=$B$5</f>
        <v/>
      </c>
      <c r="G694">
        <f>IF(E694,A694,10^9)</f>
        <v/>
      </c>
      <c r="H694">
        <f>IF(E694,D694,10^9)</f>
        <v/>
      </c>
    </row>
    <row r="695">
      <c r="A695" t="n">
        <v>687</v>
      </c>
      <c r="B695" t="n">
        <v>0</v>
      </c>
      <c r="C695" t="n">
        <v>0</v>
      </c>
      <c r="D695" t="n">
        <v>893.6709868893357</v>
      </c>
      <c r="E695">
        <f>C695&lt;0.05</f>
        <v/>
      </c>
      <c r="F695">
        <f>A695=$B$5</f>
        <v/>
      </c>
      <c r="G695">
        <f>IF(E695,A695,10^9)</f>
        <v/>
      </c>
      <c r="H695">
        <f>IF(E695,D695,10^9)</f>
        <v/>
      </c>
    </row>
    <row r="696">
      <c r="A696" t="n">
        <v>688</v>
      </c>
      <c r="B696" t="n">
        <v>0</v>
      </c>
      <c r="C696" t="n">
        <v>0</v>
      </c>
      <c r="D696" t="n">
        <v>894.6709868893357</v>
      </c>
      <c r="E696">
        <f>C696&lt;0.05</f>
        <v/>
      </c>
      <c r="F696">
        <f>A696=$B$5</f>
        <v/>
      </c>
      <c r="G696">
        <f>IF(E696,A696,10^9)</f>
        <v/>
      </c>
      <c r="H696">
        <f>IF(E696,D696,10^9)</f>
        <v/>
      </c>
    </row>
    <row r="697">
      <c r="A697" t="n">
        <v>689</v>
      </c>
      <c r="B697" t="n">
        <v>0</v>
      </c>
      <c r="C697" t="n">
        <v>0</v>
      </c>
      <c r="D697" t="n">
        <v>895.6709868893357</v>
      </c>
      <c r="E697">
        <f>C697&lt;0.05</f>
        <v/>
      </c>
      <c r="F697">
        <f>A697=$B$5</f>
        <v/>
      </c>
      <c r="G697">
        <f>IF(E697,A697,10^9)</f>
        <v/>
      </c>
      <c r="H697">
        <f>IF(E697,D697,10^9)</f>
        <v/>
      </c>
    </row>
    <row r="698">
      <c r="A698" t="n">
        <v>690</v>
      </c>
      <c r="B698" t="n">
        <v>0</v>
      </c>
      <c r="C698" t="n">
        <v>0</v>
      </c>
      <c r="D698" t="n">
        <v>896.6709868893357</v>
      </c>
      <c r="E698">
        <f>C698&lt;0.05</f>
        <v/>
      </c>
      <c r="F698">
        <f>A698=$B$5</f>
        <v/>
      </c>
      <c r="G698">
        <f>IF(E698,A698,10^9)</f>
        <v/>
      </c>
      <c r="H698">
        <f>IF(E698,D698,10^9)</f>
        <v/>
      </c>
    </row>
    <row r="699">
      <c r="A699" t="n">
        <v>691</v>
      </c>
      <c r="B699" t="n">
        <v>0</v>
      </c>
      <c r="C699" t="n">
        <v>0</v>
      </c>
      <c r="D699" t="n">
        <v>897.6709868893357</v>
      </c>
      <c r="E699">
        <f>C699&lt;0.05</f>
        <v/>
      </c>
      <c r="F699">
        <f>A699=$B$5</f>
        <v/>
      </c>
      <c r="G699">
        <f>IF(E699,A699,10^9)</f>
        <v/>
      </c>
      <c r="H699">
        <f>IF(E699,D699,10^9)</f>
        <v/>
      </c>
    </row>
    <row r="700">
      <c r="A700" t="n">
        <v>692</v>
      </c>
      <c r="B700" t="n">
        <v>0</v>
      </c>
      <c r="C700" t="n">
        <v>0</v>
      </c>
      <c r="D700" t="n">
        <v>898.6709868893357</v>
      </c>
      <c r="E700">
        <f>C700&lt;0.05</f>
        <v/>
      </c>
      <c r="F700">
        <f>A700=$B$5</f>
        <v/>
      </c>
      <c r="G700">
        <f>IF(E700,A700,10^9)</f>
        <v/>
      </c>
      <c r="H700">
        <f>IF(E700,D700,10^9)</f>
        <v/>
      </c>
    </row>
    <row r="701">
      <c r="A701" t="n">
        <v>693</v>
      </c>
      <c r="B701" t="n">
        <v>0</v>
      </c>
      <c r="C701" t="n">
        <v>0</v>
      </c>
      <c r="D701" t="n">
        <v>899.6709868893357</v>
      </c>
      <c r="E701">
        <f>C701&lt;0.05</f>
        <v/>
      </c>
      <c r="F701">
        <f>A701=$B$5</f>
        <v/>
      </c>
      <c r="G701">
        <f>IF(E701,A701,10^9)</f>
        <v/>
      </c>
      <c r="H701">
        <f>IF(E701,D701,10^9)</f>
        <v/>
      </c>
    </row>
    <row r="702">
      <c r="A702" t="n">
        <v>694</v>
      </c>
      <c r="B702" t="n">
        <v>0</v>
      </c>
      <c r="C702" t="n">
        <v>0</v>
      </c>
      <c r="D702" t="n">
        <v>900.6709868893356</v>
      </c>
      <c r="E702">
        <f>C702&lt;0.05</f>
        <v/>
      </c>
      <c r="F702">
        <f>A702=$B$5</f>
        <v/>
      </c>
      <c r="G702">
        <f>IF(E702,A702,10^9)</f>
        <v/>
      </c>
      <c r="H702">
        <f>IF(E702,D702,10^9)</f>
        <v/>
      </c>
    </row>
    <row r="703">
      <c r="A703" t="n">
        <v>695</v>
      </c>
      <c r="B703" t="n">
        <v>0</v>
      </c>
      <c r="C703" t="n">
        <v>0</v>
      </c>
      <c r="D703" t="n">
        <v>901.6709868893356</v>
      </c>
      <c r="E703">
        <f>C703&lt;0.05</f>
        <v/>
      </c>
      <c r="F703">
        <f>A703=$B$5</f>
        <v/>
      </c>
      <c r="G703">
        <f>IF(E703,A703,10^9)</f>
        <v/>
      </c>
      <c r="H703">
        <f>IF(E703,D703,10^9)</f>
        <v/>
      </c>
    </row>
    <row r="704">
      <c r="A704" t="n">
        <v>696</v>
      </c>
      <c r="B704" t="n">
        <v>0</v>
      </c>
      <c r="C704" t="n">
        <v>0</v>
      </c>
      <c r="D704" t="n">
        <v>902.6709868893356</v>
      </c>
      <c r="E704">
        <f>C704&lt;0.05</f>
        <v/>
      </c>
      <c r="F704">
        <f>A704=$B$5</f>
        <v/>
      </c>
      <c r="G704">
        <f>IF(E704,A704,10^9)</f>
        <v/>
      </c>
      <c r="H704">
        <f>IF(E704,D704,10^9)</f>
        <v/>
      </c>
    </row>
    <row r="705">
      <c r="A705" t="n">
        <v>697</v>
      </c>
      <c r="B705" t="n">
        <v>0</v>
      </c>
      <c r="C705" t="n">
        <v>0</v>
      </c>
      <c r="D705" t="n">
        <v>903.6709868893356</v>
      </c>
      <c r="E705">
        <f>C705&lt;0.05</f>
        <v/>
      </c>
      <c r="F705">
        <f>A705=$B$5</f>
        <v/>
      </c>
      <c r="G705">
        <f>IF(E705,A705,10^9)</f>
        <v/>
      </c>
      <c r="H705">
        <f>IF(E705,D705,10^9)</f>
        <v/>
      </c>
    </row>
    <row r="706">
      <c r="A706" t="n">
        <v>698</v>
      </c>
      <c r="B706" t="n">
        <v>0</v>
      </c>
      <c r="C706" t="n">
        <v>0</v>
      </c>
      <c r="D706" t="n">
        <v>904.6709868893356</v>
      </c>
      <c r="E706">
        <f>C706&lt;0.05</f>
        <v/>
      </c>
      <c r="F706">
        <f>A706=$B$5</f>
        <v/>
      </c>
      <c r="G706">
        <f>IF(E706,A706,10^9)</f>
        <v/>
      </c>
      <c r="H706">
        <f>IF(E706,D706,10^9)</f>
        <v/>
      </c>
    </row>
    <row r="707">
      <c r="A707" t="n">
        <v>699</v>
      </c>
      <c r="B707" t="n">
        <v>0</v>
      </c>
      <c r="C707" t="n">
        <v>0</v>
      </c>
      <c r="D707" t="n">
        <v>905.6709868893356</v>
      </c>
      <c r="E707">
        <f>C707&lt;0.05</f>
        <v/>
      </c>
      <c r="F707">
        <f>A707=$B$5</f>
        <v/>
      </c>
      <c r="G707">
        <f>IF(E707,A707,10^9)</f>
        <v/>
      </c>
      <c r="H707">
        <f>IF(E707,D707,10^9)</f>
        <v/>
      </c>
    </row>
    <row r="708">
      <c r="A708" t="n">
        <v>700</v>
      </c>
      <c r="B708" t="n">
        <v>0</v>
      </c>
      <c r="C708" t="n">
        <v>0</v>
      </c>
      <c r="D708" t="n">
        <v>906.6709868893356</v>
      </c>
      <c r="E708">
        <f>C708&lt;0.05</f>
        <v/>
      </c>
      <c r="F708">
        <f>A708=$B$5</f>
        <v/>
      </c>
      <c r="G708">
        <f>IF(E708,A708,10^9)</f>
        <v/>
      </c>
      <c r="H708">
        <f>IF(E708,D708,10^9)</f>
        <v/>
      </c>
    </row>
    <row r="709">
      <c r="A709" t="n">
        <v>701</v>
      </c>
      <c r="B709" t="n">
        <v>0</v>
      </c>
      <c r="C709" t="n">
        <v>0</v>
      </c>
      <c r="D709" t="n">
        <v>907.6709868893356</v>
      </c>
      <c r="E709">
        <f>C709&lt;0.05</f>
        <v/>
      </c>
      <c r="F709">
        <f>A709=$B$5</f>
        <v/>
      </c>
      <c r="G709">
        <f>IF(E709,A709,10^9)</f>
        <v/>
      </c>
      <c r="H709">
        <f>IF(E709,D709,10^9)</f>
        <v/>
      </c>
    </row>
    <row r="710">
      <c r="A710" t="n">
        <v>702</v>
      </c>
      <c r="B710" t="n">
        <v>0</v>
      </c>
      <c r="C710" t="n">
        <v>0</v>
      </c>
      <c r="D710" t="n">
        <v>908.6709868893356</v>
      </c>
      <c r="E710">
        <f>C710&lt;0.05</f>
        <v/>
      </c>
      <c r="F710">
        <f>A710=$B$5</f>
        <v/>
      </c>
      <c r="G710">
        <f>IF(E710,A710,10^9)</f>
        <v/>
      </c>
      <c r="H710">
        <f>IF(E710,D710,10^9)</f>
        <v/>
      </c>
    </row>
    <row r="711">
      <c r="A711" t="n">
        <v>703</v>
      </c>
      <c r="B711" t="n">
        <v>0</v>
      </c>
      <c r="C711" t="n">
        <v>0</v>
      </c>
      <c r="D711" t="n">
        <v>909.6709868893356</v>
      </c>
      <c r="E711">
        <f>C711&lt;0.05</f>
        <v/>
      </c>
      <c r="F711">
        <f>A711=$B$5</f>
        <v/>
      </c>
      <c r="G711">
        <f>IF(E711,A711,10^9)</f>
        <v/>
      </c>
      <c r="H711">
        <f>IF(E711,D711,10^9)</f>
        <v/>
      </c>
    </row>
    <row r="712">
      <c r="A712" t="n">
        <v>704</v>
      </c>
      <c r="B712" t="n">
        <v>0</v>
      </c>
      <c r="C712" t="n">
        <v>0</v>
      </c>
      <c r="D712" t="n">
        <v>910.6709868893356</v>
      </c>
      <c r="E712">
        <f>C712&lt;0.05</f>
        <v/>
      </c>
      <c r="F712">
        <f>A712=$B$5</f>
        <v/>
      </c>
      <c r="G712">
        <f>IF(E712,A712,10^9)</f>
        <v/>
      </c>
      <c r="H712">
        <f>IF(E712,D712,10^9)</f>
        <v/>
      </c>
    </row>
    <row r="713">
      <c r="A713" t="n">
        <v>705</v>
      </c>
      <c r="B713" t="n">
        <v>0</v>
      </c>
      <c r="C713" t="n">
        <v>0</v>
      </c>
      <c r="D713" t="n">
        <v>911.6709868893356</v>
      </c>
      <c r="E713">
        <f>C713&lt;0.05</f>
        <v/>
      </c>
      <c r="F713">
        <f>A713=$B$5</f>
        <v/>
      </c>
      <c r="G713">
        <f>IF(E713,A713,10^9)</f>
        <v/>
      </c>
      <c r="H713">
        <f>IF(E713,D713,10^9)</f>
        <v/>
      </c>
    </row>
    <row r="714">
      <c r="A714" t="n">
        <v>706</v>
      </c>
      <c r="B714" t="n">
        <v>0</v>
      </c>
      <c r="C714" t="n">
        <v>0</v>
      </c>
      <c r="D714" t="n">
        <v>912.6709868893356</v>
      </c>
      <c r="E714">
        <f>C714&lt;0.05</f>
        <v/>
      </c>
      <c r="F714">
        <f>A714=$B$5</f>
        <v/>
      </c>
      <c r="G714">
        <f>IF(E714,A714,10^9)</f>
        <v/>
      </c>
      <c r="H714">
        <f>IF(E714,D714,10^9)</f>
        <v/>
      </c>
    </row>
    <row r="715">
      <c r="A715" t="n">
        <v>707</v>
      </c>
      <c r="B715" t="n">
        <v>0</v>
      </c>
      <c r="C715" t="n">
        <v>0</v>
      </c>
      <c r="D715" t="n">
        <v>913.6709868893356</v>
      </c>
      <c r="E715">
        <f>C715&lt;0.05</f>
        <v/>
      </c>
      <c r="F715">
        <f>A715=$B$5</f>
        <v/>
      </c>
      <c r="G715">
        <f>IF(E715,A715,10^9)</f>
        <v/>
      </c>
      <c r="H715">
        <f>IF(E715,D715,10^9)</f>
        <v/>
      </c>
    </row>
    <row r="716">
      <c r="A716" t="n">
        <v>708</v>
      </c>
      <c r="B716" t="n">
        <v>0</v>
      </c>
      <c r="C716" t="n">
        <v>0</v>
      </c>
      <c r="D716" t="n">
        <v>914.6709868893356</v>
      </c>
      <c r="E716">
        <f>C716&lt;0.05</f>
        <v/>
      </c>
      <c r="F716">
        <f>A716=$B$5</f>
        <v/>
      </c>
      <c r="G716">
        <f>IF(E716,A716,10^9)</f>
        <v/>
      </c>
      <c r="H716">
        <f>IF(E716,D716,10^9)</f>
        <v/>
      </c>
    </row>
    <row r="717">
      <c r="A717" t="n">
        <v>709</v>
      </c>
      <c r="B717" t="n">
        <v>0</v>
      </c>
      <c r="C717" t="n">
        <v>0</v>
      </c>
      <c r="D717" t="n">
        <v>915.6709868893356</v>
      </c>
      <c r="E717">
        <f>C717&lt;0.05</f>
        <v/>
      </c>
      <c r="F717">
        <f>A717=$B$5</f>
        <v/>
      </c>
      <c r="G717">
        <f>IF(E717,A717,10^9)</f>
        <v/>
      </c>
      <c r="H717">
        <f>IF(E717,D717,10^9)</f>
        <v/>
      </c>
    </row>
    <row r="718">
      <c r="A718" t="n">
        <v>710</v>
      </c>
      <c r="B718" t="n">
        <v>0</v>
      </c>
      <c r="C718" t="n">
        <v>0</v>
      </c>
      <c r="D718" t="n">
        <v>916.6709868893356</v>
      </c>
      <c r="E718">
        <f>C718&lt;0.05</f>
        <v/>
      </c>
      <c r="F718">
        <f>A718=$B$5</f>
        <v/>
      </c>
      <c r="G718">
        <f>IF(E718,A718,10^9)</f>
        <v/>
      </c>
      <c r="H718">
        <f>IF(E718,D718,10^9)</f>
        <v/>
      </c>
    </row>
    <row r="719">
      <c r="A719" t="n">
        <v>711</v>
      </c>
      <c r="B719" t="n">
        <v>0</v>
      </c>
      <c r="C719" t="n">
        <v>0</v>
      </c>
      <c r="D719" t="n">
        <v>917.6709868893356</v>
      </c>
      <c r="E719">
        <f>C719&lt;0.05</f>
        <v/>
      </c>
      <c r="F719">
        <f>A719=$B$5</f>
        <v/>
      </c>
      <c r="G719">
        <f>IF(E719,A719,10^9)</f>
        <v/>
      </c>
      <c r="H719">
        <f>IF(E719,D719,10^9)</f>
        <v/>
      </c>
    </row>
    <row r="720">
      <c r="A720" t="n">
        <v>712</v>
      </c>
      <c r="B720" t="n">
        <v>0</v>
      </c>
      <c r="C720" t="n">
        <v>0</v>
      </c>
      <c r="D720" t="n">
        <v>918.6709868893356</v>
      </c>
      <c r="E720">
        <f>C720&lt;0.05</f>
        <v/>
      </c>
      <c r="F720">
        <f>A720=$B$5</f>
        <v/>
      </c>
      <c r="G720">
        <f>IF(E720,A720,10^9)</f>
        <v/>
      </c>
      <c r="H720">
        <f>IF(E720,D720,10^9)</f>
        <v/>
      </c>
    </row>
    <row r="721">
      <c r="A721" t="n">
        <v>713</v>
      </c>
      <c r="B721" t="n">
        <v>0</v>
      </c>
      <c r="C721" t="n">
        <v>0</v>
      </c>
      <c r="D721" t="n">
        <v>919.6709868893356</v>
      </c>
      <c r="E721">
        <f>C721&lt;0.05</f>
        <v/>
      </c>
      <c r="F721">
        <f>A721=$B$5</f>
        <v/>
      </c>
      <c r="G721">
        <f>IF(E721,A721,10^9)</f>
        <v/>
      </c>
      <c r="H721">
        <f>IF(E721,D721,10^9)</f>
        <v/>
      </c>
    </row>
    <row r="722">
      <c r="A722" t="n">
        <v>714</v>
      </c>
      <c r="B722" t="n">
        <v>0</v>
      </c>
      <c r="C722" t="n">
        <v>0</v>
      </c>
      <c r="D722" t="n">
        <v>920.6709868893356</v>
      </c>
      <c r="E722">
        <f>C722&lt;0.05</f>
        <v/>
      </c>
      <c r="F722">
        <f>A722=$B$5</f>
        <v/>
      </c>
      <c r="G722">
        <f>IF(E722,A722,10^9)</f>
        <v/>
      </c>
      <c r="H722">
        <f>IF(E722,D722,10^9)</f>
        <v/>
      </c>
    </row>
    <row r="723">
      <c r="A723" t="n">
        <v>715</v>
      </c>
      <c r="B723" t="n">
        <v>0</v>
      </c>
      <c r="C723" t="n">
        <v>0</v>
      </c>
      <c r="D723" t="n">
        <v>921.6709868893356</v>
      </c>
      <c r="E723">
        <f>C723&lt;0.05</f>
        <v/>
      </c>
      <c r="F723">
        <f>A723=$B$5</f>
        <v/>
      </c>
      <c r="G723">
        <f>IF(E723,A723,10^9)</f>
        <v/>
      </c>
      <c r="H723">
        <f>IF(E723,D723,10^9)</f>
        <v/>
      </c>
    </row>
    <row r="724">
      <c r="A724" t="n">
        <v>716</v>
      </c>
      <c r="B724" t="n">
        <v>0</v>
      </c>
      <c r="C724" t="n">
        <v>0</v>
      </c>
      <c r="D724" t="n">
        <v>922.6709868893356</v>
      </c>
      <c r="E724">
        <f>C724&lt;0.05</f>
        <v/>
      </c>
      <c r="F724">
        <f>A724=$B$5</f>
        <v/>
      </c>
      <c r="G724">
        <f>IF(E724,A724,10^9)</f>
        <v/>
      </c>
      <c r="H724">
        <f>IF(E724,D724,10^9)</f>
        <v/>
      </c>
    </row>
    <row r="725">
      <c r="A725" t="n">
        <v>717</v>
      </c>
      <c r="B725" t="n">
        <v>0</v>
      </c>
      <c r="C725" t="n">
        <v>0</v>
      </c>
      <c r="D725" t="n">
        <v>923.6709868893356</v>
      </c>
      <c r="E725">
        <f>C725&lt;0.05</f>
        <v/>
      </c>
      <c r="F725">
        <f>A725=$B$5</f>
        <v/>
      </c>
      <c r="G725">
        <f>IF(E725,A725,10^9)</f>
        <v/>
      </c>
      <c r="H725">
        <f>IF(E725,D725,10^9)</f>
        <v/>
      </c>
    </row>
    <row r="726">
      <c r="A726" t="n">
        <v>718</v>
      </c>
      <c r="B726" t="n">
        <v>0</v>
      </c>
      <c r="C726" t="n">
        <v>0</v>
      </c>
      <c r="D726" t="n">
        <v>924.6709868893356</v>
      </c>
      <c r="E726">
        <f>C726&lt;0.05</f>
        <v/>
      </c>
      <c r="F726">
        <f>A726=$B$5</f>
        <v/>
      </c>
      <c r="G726">
        <f>IF(E726,A726,10^9)</f>
        <v/>
      </c>
      <c r="H726">
        <f>IF(E726,D726,10^9)</f>
        <v/>
      </c>
    </row>
    <row r="727">
      <c r="A727" t="n">
        <v>719</v>
      </c>
      <c r="B727" t="n">
        <v>0</v>
      </c>
      <c r="C727" t="n">
        <v>0</v>
      </c>
      <c r="D727" t="n">
        <v>925.6709868893356</v>
      </c>
      <c r="E727">
        <f>C727&lt;0.05</f>
        <v/>
      </c>
      <c r="F727">
        <f>A727=$B$5</f>
        <v/>
      </c>
      <c r="G727">
        <f>IF(E727,A727,10^9)</f>
        <v/>
      </c>
      <c r="H727">
        <f>IF(E727,D727,10^9)</f>
        <v/>
      </c>
    </row>
    <row r="728">
      <c r="A728" t="n">
        <v>720</v>
      </c>
      <c r="B728" t="n">
        <v>0</v>
      </c>
      <c r="C728" t="n">
        <v>0</v>
      </c>
      <c r="D728" t="n">
        <v>926.6709868893356</v>
      </c>
      <c r="E728">
        <f>C728&lt;0.05</f>
        <v/>
      </c>
      <c r="F728">
        <f>A728=$B$5</f>
        <v/>
      </c>
      <c r="G728">
        <f>IF(E728,A728,10^9)</f>
        <v/>
      </c>
      <c r="H728">
        <f>IF(E728,D728,10^9)</f>
        <v/>
      </c>
    </row>
    <row r="729">
      <c r="A729" t="n">
        <v>721</v>
      </c>
      <c r="B729" t="n">
        <v>0</v>
      </c>
      <c r="C729" t="n">
        <v>0</v>
      </c>
      <c r="D729" t="n">
        <v>927.6709868893356</v>
      </c>
      <c r="E729">
        <f>C729&lt;0.05</f>
        <v/>
      </c>
      <c r="F729">
        <f>A729=$B$5</f>
        <v/>
      </c>
      <c r="G729">
        <f>IF(E729,A729,10^9)</f>
        <v/>
      </c>
      <c r="H729">
        <f>IF(E729,D729,10^9)</f>
        <v/>
      </c>
    </row>
    <row r="730">
      <c r="A730" t="n">
        <v>722</v>
      </c>
      <c r="B730" t="n">
        <v>0</v>
      </c>
      <c r="C730" t="n">
        <v>0</v>
      </c>
      <c r="D730" t="n">
        <v>928.6709868893356</v>
      </c>
      <c r="E730">
        <f>C730&lt;0.05</f>
        <v/>
      </c>
      <c r="F730">
        <f>A730=$B$5</f>
        <v/>
      </c>
      <c r="G730">
        <f>IF(E730,A730,10^9)</f>
        <v/>
      </c>
      <c r="H730">
        <f>IF(E730,D730,10^9)</f>
        <v/>
      </c>
    </row>
    <row r="731">
      <c r="A731" t="n">
        <v>723</v>
      </c>
      <c r="B731" t="n">
        <v>0</v>
      </c>
      <c r="C731" t="n">
        <v>0</v>
      </c>
      <c r="D731" t="n">
        <v>929.6709868893356</v>
      </c>
      <c r="E731">
        <f>C731&lt;0.05</f>
        <v/>
      </c>
      <c r="F731">
        <f>A731=$B$5</f>
        <v/>
      </c>
      <c r="G731">
        <f>IF(E731,A731,10^9)</f>
        <v/>
      </c>
      <c r="H731">
        <f>IF(E731,D731,10^9)</f>
        <v/>
      </c>
    </row>
    <row r="732">
      <c r="A732" t="n">
        <v>724</v>
      </c>
      <c r="B732" t="n">
        <v>0</v>
      </c>
      <c r="C732" t="n">
        <v>0</v>
      </c>
      <c r="D732" t="n">
        <v>930.6709868893356</v>
      </c>
      <c r="E732">
        <f>C732&lt;0.05</f>
        <v/>
      </c>
      <c r="F732">
        <f>A732=$B$5</f>
        <v/>
      </c>
      <c r="G732">
        <f>IF(E732,A732,10^9)</f>
        <v/>
      </c>
      <c r="H732">
        <f>IF(E732,D732,10^9)</f>
        <v/>
      </c>
    </row>
    <row r="733">
      <c r="A733" t="n">
        <v>725</v>
      </c>
      <c r="B733" t="n">
        <v>0</v>
      </c>
      <c r="C733" t="n">
        <v>0</v>
      </c>
      <c r="D733" t="n">
        <v>931.6709868893356</v>
      </c>
      <c r="E733">
        <f>C733&lt;0.05</f>
        <v/>
      </c>
      <c r="F733">
        <f>A733=$B$5</f>
        <v/>
      </c>
      <c r="G733">
        <f>IF(E733,A733,10^9)</f>
        <v/>
      </c>
      <c r="H733">
        <f>IF(E733,D733,10^9)</f>
        <v/>
      </c>
    </row>
    <row r="734">
      <c r="A734" t="n">
        <v>726</v>
      </c>
      <c r="B734" t="n">
        <v>0</v>
      </c>
      <c r="C734" t="n">
        <v>0</v>
      </c>
      <c r="D734" t="n">
        <v>932.6709868893356</v>
      </c>
      <c r="E734">
        <f>C734&lt;0.05</f>
        <v/>
      </c>
      <c r="F734">
        <f>A734=$B$5</f>
        <v/>
      </c>
      <c r="G734">
        <f>IF(E734,A734,10^9)</f>
        <v/>
      </c>
      <c r="H734">
        <f>IF(E734,D734,10^9)</f>
        <v/>
      </c>
    </row>
    <row r="735">
      <c r="A735" t="n">
        <v>727</v>
      </c>
      <c r="B735" t="n">
        <v>0</v>
      </c>
      <c r="C735" t="n">
        <v>0</v>
      </c>
      <c r="D735" t="n">
        <v>933.6709868893356</v>
      </c>
      <c r="E735">
        <f>C735&lt;0.05</f>
        <v/>
      </c>
      <c r="F735">
        <f>A735=$B$5</f>
        <v/>
      </c>
      <c r="G735">
        <f>IF(E735,A735,10^9)</f>
        <v/>
      </c>
      <c r="H735">
        <f>IF(E735,D735,10^9)</f>
        <v/>
      </c>
    </row>
    <row r="736">
      <c r="A736" t="n">
        <v>728</v>
      </c>
      <c r="B736" t="n">
        <v>0</v>
      </c>
      <c r="C736" t="n">
        <v>0</v>
      </c>
      <c r="D736" t="n">
        <v>934.6709868893356</v>
      </c>
      <c r="E736">
        <f>C736&lt;0.05</f>
        <v/>
      </c>
      <c r="F736">
        <f>A736=$B$5</f>
        <v/>
      </c>
      <c r="G736">
        <f>IF(E736,A736,10^9)</f>
        <v/>
      </c>
      <c r="H736">
        <f>IF(E736,D736,10^9)</f>
        <v/>
      </c>
    </row>
    <row r="737">
      <c r="A737" t="n">
        <v>729</v>
      </c>
      <c r="B737" t="n">
        <v>0</v>
      </c>
      <c r="C737" t="n">
        <v>0</v>
      </c>
      <c r="D737" t="n">
        <v>935.6709868893356</v>
      </c>
      <c r="E737">
        <f>C737&lt;0.05</f>
        <v/>
      </c>
      <c r="F737">
        <f>A737=$B$5</f>
        <v/>
      </c>
      <c r="G737">
        <f>IF(E737,A737,10^9)</f>
        <v/>
      </c>
      <c r="H737">
        <f>IF(E737,D737,10^9)</f>
        <v/>
      </c>
    </row>
    <row r="738">
      <c r="A738" t="n">
        <v>730</v>
      </c>
      <c r="B738" t="n">
        <v>0</v>
      </c>
      <c r="C738" t="n">
        <v>0</v>
      </c>
      <c r="D738" t="n">
        <v>936.6709868893356</v>
      </c>
      <c r="E738">
        <f>C738&lt;0.05</f>
        <v/>
      </c>
      <c r="F738">
        <f>A738=$B$5</f>
        <v/>
      </c>
      <c r="G738">
        <f>IF(E738,A738,10^9)</f>
        <v/>
      </c>
      <c r="H738">
        <f>IF(E738,D738,10^9)</f>
        <v/>
      </c>
    </row>
    <row r="739">
      <c r="A739" t="n">
        <v>731</v>
      </c>
      <c r="B739" t="n">
        <v>0</v>
      </c>
      <c r="C739" t="n">
        <v>0</v>
      </c>
      <c r="D739" t="n">
        <v>937.6709868893356</v>
      </c>
      <c r="E739">
        <f>C739&lt;0.05</f>
        <v/>
      </c>
      <c r="F739">
        <f>A739=$B$5</f>
        <v/>
      </c>
      <c r="G739">
        <f>IF(E739,A739,10^9)</f>
        <v/>
      </c>
      <c r="H739">
        <f>IF(E739,D739,10^9)</f>
        <v/>
      </c>
    </row>
    <row r="740">
      <c r="A740" t="n">
        <v>732</v>
      </c>
      <c r="B740" t="n">
        <v>0</v>
      </c>
      <c r="C740" t="n">
        <v>0</v>
      </c>
      <c r="D740" t="n">
        <v>938.6709868893356</v>
      </c>
      <c r="E740">
        <f>C740&lt;0.05</f>
        <v/>
      </c>
      <c r="F740">
        <f>A740=$B$5</f>
        <v/>
      </c>
      <c r="G740">
        <f>IF(E740,A740,10^9)</f>
        <v/>
      </c>
      <c r="H740">
        <f>IF(E740,D740,10^9)</f>
        <v/>
      </c>
    </row>
    <row r="741">
      <c r="A741" t="n">
        <v>733</v>
      </c>
      <c r="B741" t="n">
        <v>0</v>
      </c>
      <c r="C741" t="n">
        <v>0</v>
      </c>
      <c r="D741" t="n">
        <v>939.6709868893356</v>
      </c>
      <c r="E741">
        <f>C741&lt;0.05</f>
        <v/>
      </c>
      <c r="F741">
        <f>A741=$B$5</f>
        <v/>
      </c>
      <c r="G741">
        <f>IF(E741,A741,10^9)</f>
        <v/>
      </c>
      <c r="H741">
        <f>IF(E741,D741,10^9)</f>
        <v/>
      </c>
    </row>
    <row r="742">
      <c r="A742" t="n">
        <v>734</v>
      </c>
      <c r="B742" t="n">
        <v>0</v>
      </c>
      <c r="C742" t="n">
        <v>0</v>
      </c>
      <c r="D742" t="n">
        <v>940.6709868893356</v>
      </c>
      <c r="E742">
        <f>C742&lt;0.05</f>
        <v/>
      </c>
      <c r="F742">
        <f>A742=$B$5</f>
        <v/>
      </c>
      <c r="G742">
        <f>IF(E742,A742,10^9)</f>
        <v/>
      </c>
      <c r="H742">
        <f>IF(E742,D742,10^9)</f>
        <v/>
      </c>
    </row>
    <row r="743">
      <c r="A743" t="n">
        <v>735</v>
      </c>
      <c r="B743" t="n">
        <v>0</v>
      </c>
      <c r="C743" t="n">
        <v>0</v>
      </c>
      <c r="D743" t="n">
        <v>941.6709868893356</v>
      </c>
      <c r="E743">
        <f>C743&lt;0.05</f>
        <v/>
      </c>
      <c r="F743">
        <f>A743=$B$5</f>
        <v/>
      </c>
      <c r="G743">
        <f>IF(E743,A743,10^9)</f>
        <v/>
      </c>
      <c r="H743">
        <f>IF(E743,D743,10^9)</f>
        <v/>
      </c>
    </row>
    <row r="744">
      <c r="A744" t="n">
        <v>736</v>
      </c>
      <c r="B744" t="n">
        <v>0</v>
      </c>
      <c r="C744" t="n">
        <v>0</v>
      </c>
      <c r="D744" t="n">
        <v>942.6709868893356</v>
      </c>
      <c r="E744">
        <f>C744&lt;0.05</f>
        <v/>
      </c>
      <c r="F744">
        <f>A744=$B$5</f>
        <v/>
      </c>
      <c r="G744">
        <f>IF(E744,A744,10^9)</f>
        <v/>
      </c>
      <c r="H744">
        <f>IF(E744,D744,10^9)</f>
        <v/>
      </c>
    </row>
    <row r="745">
      <c r="A745" t="n">
        <v>737</v>
      </c>
      <c r="B745" t="n">
        <v>0</v>
      </c>
      <c r="C745" t="n">
        <v>0</v>
      </c>
      <c r="D745" t="n">
        <v>943.6709868893356</v>
      </c>
      <c r="E745">
        <f>C745&lt;0.05</f>
        <v/>
      </c>
      <c r="F745">
        <f>A745=$B$5</f>
        <v/>
      </c>
      <c r="G745">
        <f>IF(E745,A745,10^9)</f>
        <v/>
      </c>
      <c r="H745">
        <f>IF(E745,D745,10^9)</f>
        <v/>
      </c>
    </row>
    <row r="746">
      <c r="A746" t="n">
        <v>738</v>
      </c>
      <c r="B746" t="n">
        <v>0</v>
      </c>
      <c r="C746" t="n">
        <v>0</v>
      </c>
      <c r="D746" t="n">
        <v>944.6709868893356</v>
      </c>
      <c r="E746">
        <f>C746&lt;0.05</f>
        <v/>
      </c>
      <c r="F746">
        <f>A746=$B$5</f>
        <v/>
      </c>
      <c r="G746">
        <f>IF(E746,A746,10^9)</f>
        <v/>
      </c>
      <c r="H746">
        <f>IF(E746,D746,10^9)</f>
        <v/>
      </c>
    </row>
    <row r="747">
      <c r="A747" t="n">
        <v>739</v>
      </c>
      <c r="B747" t="n">
        <v>0</v>
      </c>
      <c r="C747" t="n">
        <v>0</v>
      </c>
      <c r="D747" t="n">
        <v>945.6709868893356</v>
      </c>
      <c r="E747">
        <f>C747&lt;0.05</f>
        <v/>
      </c>
      <c r="F747">
        <f>A747=$B$5</f>
        <v/>
      </c>
      <c r="G747">
        <f>IF(E747,A747,10^9)</f>
        <v/>
      </c>
      <c r="H747">
        <f>IF(E747,D747,10^9)</f>
        <v/>
      </c>
    </row>
    <row r="748">
      <c r="A748" t="n">
        <v>740</v>
      </c>
      <c r="B748" t="n">
        <v>0</v>
      </c>
      <c r="C748" t="n">
        <v>0</v>
      </c>
      <c r="D748" t="n">
        <v>946.6709868893356</v>
      </c>
      <c r="E748">
        <f>C748&lt;0.05</f>
        <v/>
      </c>
      <c r="F748">
        <f>A748=$B$5</f>
        <v/>
      </c>
      <c r="G748">
        <f>IF(E748,A748,10^9)</f>
        <v/>
      </c>
      <c r="H748">
        <f>IF(E748,D748,10^9)</f>
        <v/>
      </c>
    </row>
    <row r="749">
      <c r="A749" t="n">
        <v>741</v>
      </c>
      <c r="B749" t="n">
        <v>0</v>
      </c>
      <c r="C749" t="n">
        <v>0</v>
      </c>
      <c r="D749" t="n">
        <v>947.6709868893356</v>
      </c>
      <c r="E749">
        <f>C749&lt;0.05</f>
        <v/>
      </c>
      <c r="F749">
        <f>A749=$B$5</f>
        <v/>
      </c>
      <c r="G749">
        <f>IF(E749,A749,10^9)</f>
        <v/>
      </c>
      <c r="H749">
        <f>IF(E749,D749,10^9)</f>
        <v/>
      </c>
    </row>
    <row r="750">
      <c r="A750" t="n">
        <v>742</v>
      </c>
      <c r="B750" t="n">
        <v>0</v>
      </c>
      <c r="C750" t="n">
        <v>0</v>
      </c>
      <c r="D750" t="n">
        <v>948.6709868893356</v>
      </c>
      <c r="E750">
        <f>C750&lt;0.05</f>
        <v/>
      </c>
      <c r="F750">
        <f>A750=$B$5</f>
        <v/>
      </c>
      <c r="G750">
        <f>IF(E750,A750,10^9)</f>
        <v/>
      </c>
      <c r="H750">
        <f>IF(E750,D750,10^9)</f>
        <v/>
      </c>
    </row>
    <row r="751">
      <c r="A751" t="n">
        <v>743</v>
      </c>
      <c r="B751" t="n">
        <v>0</v>
      </c>
      <c r="C751" t="n">
        <v>0</v>
      </c>
      <c r="D751" t="n">
        <v>949.6709868893356</v>
      </c>
      <c r="E751">
        <f>C751&lt;0.05</f>
        <v/>
      </c>
      <c r="F751">
        <f>A751=$B$5</f>
        <v/>
      </c>
      <c r="G751">
        <f>IF(E751,A751,10^9)</f>
        <v/>
      </c>
      <c r="H751">
        <f>IF(E751,D751,10^9)</f>
        <v/>
      </c>
    </row>
    <row r="752">
      <c r="A752" t="n">
        <v>744</v>
      </c>
      <c r="B752" t="n">
        <v>0</v>
      </c>
      <c r="C752" t="n">
        <v>0</v>
      </c>
      <c r="D752" t="n">
        <v>950.6709868893356</v>
      </c>
      <c r="E752">
        <f>C752&lt;0.05</f>
        <v/>
      </c>
      <c r="F752">
        <f>A752=$B$5</f>
        <v/>
      </c>
      <c r="G752">
        <f>IF(E752,A752,10^9)</f>
        <v/>
      </c>
      <c r="H752">
        <f>IF(E752,D752,10^9)</f>
        <v/>
      </c>
    </row>
    <row r="753">
      <c r="A753" t="n">
        <v>745</v>
      </c>
      <c r="B753" t="n">
        <v>0</v>
      </c>
      <c r="C753" t="n">
        <v>0</v>
      </c>
      <c r="D753" t="n">
        <v>951.6709868893356</v>
      </c>
      <c r="E753">
        <f>C753&lt;0.05</f>
        <v/>
      </c>
      <c r="F753">
        <f>A753=$B$5</f>
        <v/>
      </c>
      <c r="G753">
        <f>IF(E753,A753,10^9)</f>
        <v/>
      </c>
      <c r="H753">
        <f>IF(E753,D753,10^9)</f>
        <v/>
      </c>
    </row>
    <row r="754">
      <c r="A754" t="n">
        <v>746</v>
      </c>
      <c r="B754" t="n">
        <v>0</v>
      </c>
      <c r="C754" t="n">
        <v>0</v>
      </c>
      <c r="D754" t="n">
        <v>952.6709868893356</v>
      </c>
      <c r="E754">
        <f>C754&lt;0.05</f>
        <v/>
      </c>
      <c r="F754">
        <f>A754=$B$5</f>
        <v/>
      </c>
      <c r="G754">
        <f>IF(E754,A754,10^9)</f>
        <v/>
      </c>
      <c r="H754">
        <f>IF(E754,D754,10^9)</f>
        <v/>
      </c>
    </row>
    <row r="755">
      <c r="A755" t="n">
        <v>747</v>
      </c>
      <c r="B755" t="n">
        <v>0</v>
      </c>
      <c r="C755" t="n">
        <v>0</v>
      </c>
      <c r="D755" t="n">
        <v>953.6709868893356</v>
      </c>
      <c r="E755">
        <f>C755&lt;0.05</f>
        <v/>
      </c>
      <c r="F755">
        <f>A755=$B$5</f>
        <v/>
      </c>
      <c r="G755">
        <f>IF(E755,A755,10^9)</f>
        <v/>
      </c>
      <c r="H755">
        <f>IF(E755,D755,10^9)</f>
        <v/>
      </c>
    </row>
    <row r="756">
      <c r="A756" t="n">
        <v>748</v>
      </c>
      <c r="B756" t="n">
        <v>0</v>
      </c>
      <c r="C756" t="n">
        <v>0</v>
      </c>
      <c r="D756" t="n">
        <v>954.6709868893356</v>
      </c>
      <c r="E756">
        <f>C756&lt;0.05</f>
        <v/>
      </c>
      <c r="F756">
        <f>A756=$B$5</f>
        <v/>
      </c>
      <c r="G756">
        <f>IF(E756,A756,10^9)</f>
        <v/>
      </c>
      <c r="H756">
        <f>IF(E756,D756,10^9)</f>
        <v/>
      </c>
    </row>
    <row r="757">
      <c r="A757" t="n">
        <v>749</v>
      </c>
      <c r="B757" t="n">
        <v>0</v>
      </c>
      <c r="C757" t="n">
        <v>0</v>
      </c>
      <c r="D757" t="n">
        <v>955.6709868893356</v>
      </c>
      <c r="E757">
        <f>C757&lt;0.05</f>
        <v/>
      </c>
      <c r="F757">
        <f>A757=$B$5</f>
        <v/>
      </c>
      <c r="G757">
        <f>IF(E757,A757,10^9)</f>
        <v/>
      </c>
      <c r="H757">
        <f>IF(E757,D757,10^9)</f>
        <v/>
      </c>
    </row>
    <row r="758">
      <c r="A758" t="n">
        <v>750</v>
      </c>
      <c r="B758" t="n">
        <v>0</v>
      </c>
      <c r="C758" t="n">
        <v>0</v>
      </c>
      <c r="D758" t="n">
        <v>956.6709868893356</v>
      </c>
      <c r="E758">
        <f>C758&lt;0.05</f>
        <v/>
      </c>
      <c r="F758">
        <f>A758=$B$5</f>
        <v/>
      </c>
      <c r="G758">
        <f>IF(E758,A758,10^9)</f>
        <v/>
      </c>
      <c r="H758">
        <f>IF(E758,D758,10^9)</f>
        <v/>
      </c>
    </row>
    <row r="759">
      <c r="A759" t="n">
        <v>751</v>
      </c>
      <c r="B759" t="n">
        <v>0</v>
      </c>
      <c r="C759" t="n">
        <v>0</v>
      </c>
      <c r="D759" t="n">
        <v>957.6709868893356</v>
      </c>
      <c r="E759">
        <f>C759&lt;0.05</f>
        <v/>
      </c>
      <c r="F759">
        <f>A759=$B$5</f>
        <v/>
      </c>
      <c r="G759">
        <f>IF(E759,A759,10^9)</f>
        <v/>
      </c>
      <c r="H759">
        <f>IF(E759,D759,10^9)</f>
        <v/>
      </c>
    </row>
    <row r="760">
      <c r="A760" t="n">
        <v>752</v>
      </c>
      <c r="B760" t="n">
        <v>0</v>
      </c>
      <c r="C760" t="n">
        <v>0</v>
      </c>
      <c r="D760" t="n">
        <v>958.6709868893356</v>
      </c>
      <c r="E760">
        <f>C760&lt;0.05</f>
        <v/>
      </c>
      <c r="F760">
        <f>A760=$B$5</f>
        <v/>
      </c>
      <c r="G760">
        <f>IF(E760,A760,10^9)</f>
        <v/>
      </c>
      <c r="H760">
        <f>IF(E760,D760,10^9)</f>
        <v/>
      </c>
    </row>
    <row r="761">
      <c r="A761" t="n">
        <v>753</v>
      </c>
      <c r="B761" t="n">
        <v>0</v>
      </c>
      <c r="C761" t="n">
        <v>0</v>
      </c>
      <c r="D761" t="n">
        <v>959.6709868893356</v>
      </c>
      <c r="E761">
        <f>C761&lt;0.05</f>
        <v/>
      </c>
      <c r="F761">
        <f>A761=$B$5</f>
        <v/>
      </c>
      <c r="G761">
        <f>IF(E761,A761,10^9)</f>
        <v/>
      </c>
      <c r="H761">
        <f>IF(E761,D761,10^9)</f>
        <v/>
      </c>
    </row>
    <row r="762">
      <c r="A762" t="n">
        <v>754</v>
      </c>
      <c r="B762" t="n">
        <v>0</v>
      </c>
      <c r="C762" t="n">
        <v>0</v>
      </c>
      <c r="D762" t="n">
        <v>960.6709868893356</v>
      </c>
      <c r="E762">
        <f>C762&lt;0.05</f>
        <v/>
      </c>
      <c r="F762">
        <f>A762=$B$5</f>
        <v/>
      </c>
      <c r="G762">
        <f>IF(E762,A762,10^9)</f>
        <v/>
      </c>
      <c r="H762">
        <f>IF(E762,D762,10^9)</f>
        <v/>
      </c>
    </row>
    <row r="763">
      <c r="A763" t="n">
        <v>755</v>
      </c>
      <c r="B763" t="n">
        <v>0</v>
      </c>
      <c r="C763" t="n">
        <v>0</v>
      </c>
      <c r="D763" t="n">
        <v>961.6709868893356</v>
      </c>
      <c r="E763">
        <f>C763&lt;0.05</f>
        <v/>
      </c>
      <c r="F763">
        <f>A763=$B$5</f>
        <v/>
      </c>
      <c r="G763">
        <f>IF(E763,A763,10^9)</f>
        <v/>
      </c>
      <c r="H763">
        <f>IF(E763,D763,10^9)</f>
        <v/>
      </c>
    </row>
    <row r="764">
      <c r="A764" t="n">
        <v>756</v>
      </c>
      <c r="B764" t="n">
        <v>0</v>
      </c>
      <c r="C764" t="n">
        <v>0</v>
      </c>
      <c r="D764" t="n">
        <v>962.6709868893356</v>
      </c>
      <c r="E764">
        <f>C764&lt;0.05</f>
        <v/>
      </c>
      <c r="F764">
        <f>A764=$B$5</f>
        <v/>
      </c>
      <c r="G764">
        <f>IF(E764,A764,10^9)</f>
        <v/>
      </c>
      <c r="H764">
        <f>IF(E764,D764,10^9)</f>
        <v/>
      </c>
    </row>
    <row r="765">
      <c r="A765" t="n">
        <v>757</v>
      </c>
      <c r="B765" t="n">
        <v>0</v>
      </c>
      <c r="C765" t="n">
        <v>0</v>
      </c>
      <c r="D765" t="n">
        <v>963.6709868893356</v>
      </c>
      <c r="E765">
        <f>C765&lt;0.05</f>
        <v/>
      </c>
      <c r="F765">
        <f>A765=$B$5</f>
        <v/>
      </c>
      <c r="G765">
        <f>IF(E765,A765,10^9)</f>
        <v/>
      </c>
      <c r="H765">
        <f>IF(E765,D765,10^9)</f>
        <v/>
      </c>
    </row>
    <row r="766">
      <c r="A766" t="n">
        <v>758</v>
      </c>
      <c r="B766" t="n">
        <v>0</v>
      </c>
      <c r="C766" t="n">
        <v>0</v>
      </c>
      <c r="D766" t="n">
        <v>964.6709868893356</v>
      </c>
      <c r="E766">
        <f>C766&lt;0.05</f>
        <v/>
      </c>
      <c r="F766">
        <f>A766=$B$5</f>
        <v/>
      </c>
      <c r="G766">
        <f>IF(E766,A766,10^9)</f>
        <v/>
      </c>
      <c r="H766">
        <f>IF(E766,D766,10^9)</f>
        <v/>
      </c>
    </row>
    <row r="767">
      <c r="A767" t="n">
        <v>759</v>
      </c>
      <c r="B767" t="n">
        <v>0</v>
      </c>
      <c r="C767" t="n">
        <v>0</v>
      </c>
      <c r="D767" t="n">
        <v>965.6709868893356</v>
      </c>
      <c r="E767">
        <f>C767&lt;0.05</f>
        <v/>
      </c>
      <c r="F767">
        <f>A767=$B$5</f>
        <v/>
      </c>
      <c r="G767">
        <f>IF(E767,A767,10^9)</f>
        <v/>
      </c>
      <c r="H767">
        <f>IF(E767,D767,10^9)</f>
        <v/>
      </c>
    </row>
    <row r="768">
      <c r="A768" t="n">
        <v>760</v>
      </c>
      <c r="B768" t="n">
        <v>0</v>
      </c>
      <c r="C768" t="n">
        <v>0</v>
      </c>
      <c r="D768" t="n">
        <v>966.6709868893356</v>
      </c>
      <c r="E768">
        <f>C768&lt;0.05</f>
        <v/>
      </c>
      <c r="F768">
        <f>A768=$B$5</f>
        <v/>
      </c>
      <c r="G768">
        <f>IF(E768,A768,10^9)</f>
        <v/>
      </c>
      <c r="H768">
        <f>IF(E768,D768,10^9)</f>
        <v/>
      </c>
    </row>
    <row r="769">
      <c r="A769" t="n">
        <v>761</v>
      </c>
      <c r="B769" t="n">
        <v>0</v>
      </c>
      <c r="C769" t="n">
        <v>0</v>
      </c>
      <c r="D769" t="n">
        <v>967.6709868893356</v>
      </c>
      <c r="E769">
        <f>C769&lt;0.05</f>
        <v/>
      </c>
      <c r="F769">
        <f>A769=$B$5</f>
        <v/>
      </c>
      <c r="G769">
        <f>IF(E769,A769,10^9)</f>
        <v/>
      </c>
      <c r="H769">
        <f>IF(E769,D769,10^9)</f>
        <v/>
      </c>
    </row>
    <row r="770">
      <c r="A770" t="n">
        <v>762</v>
      </c>
      <c r="B770" t="n">
        <v>0</v>
      </c>
      <c r="C770" t="n">
        <v>0</v>
      </c>
      <c r="D770" t="n">
        <v>968.6709868893356</v>
      </c>
      <c r="E770">
        <f>C770&lt;0.05</f>
        <v/>
      </c>
      <c r="F770">
        <f>A770=$B$5</f>
        <v/>
      </c>
      <c r="G770">
        <f>IF(E770,A770,10^9)</f>
        <v/>
      </c>
      <c r="H770">
        <f>IF(E770,D770,10^9)</f>
        <v/>
      </c>
    </row>
    <row r="771">
      <c r="A771" t="n">
        <v>763</v>
      </c>
      <c r="B771" t="n">
        <v>0</v>
      </c>
      <c r="C771" t="n">
        <v>0</v>
      </c>
      <c r="D771" t="n">
        <v>969.6709868893356</v>
      </c>
      <c r="E771">
        <f>C771&lt;0.05</f>
        <v/>
      </c>
      <c r="F771">
        <f>A771=$B$5</f>
        <v/>
      </c>
      <c r="G771">
        <f>IF(E771,A771,10^9)</f>
        <v/>
      </c>
      <c r="H771">
        <f>IF(E771,D771,10^9)</f>
        <v/>
      </c>
    </row>
    <row r="772">
      <c r="A772" t="n">
        <v>764</v>
      </c>
      <c r="B772" t="n">
        <v>0</v>
      </c>
      <c r="C772" t="n">
        <v>0</v>
      </c>
      <c r="D772" t="n">
        <v>970.6709868893356</v>
      </c>
      <c r="E772">
        <f>C772&lt;0.05</f>
        <v/>
      </c>
      <c r="F772">
        <f>A772=$B$5</f>
        <v/>
      </c>
      <c r="G772">
        <f>IF(E772,A772,10^9)</f>
        <v/>
      </c>
      <c r="H772">
        <f>IF(E772,D772,10^9)</f>
        <v/>
      </c>
    </row>
    <row r="773">
      <c r="A773" t="n">
        <v>765</v>
      </c>
      <c r="B773" t="n">
        <v>0</v>
      </c>
      <c r="C773" t="n">
        <v>0</v>
      </c>
      <c r="D773" t="n">
        <v>971.6709868893356</v>
      </c>
      <c r="E773">
        <f>C773&lt;0.05</f>
        <v/>
      </c>
      <c r="F773">
        <f>A773=$B$5</f>
        <v/>
      </c>
      <c r="G773">
        <f>IF(E773,A773,10^9)</f>
        <v/>
      </c>
      <c r="H773">
        <f>IF(E773,D773,10^9)</f>
        <v/>
      </c>
    </row>
    <row r="774">
      <c r="A774" t="n">
        <v>766</v>
      </c>
      <c r="B774" t="n">
        <v>0</v>
      </c>
      <c r="C774" t="n">
        <v>0</v>
      </c>
      <c r="D774" t="n">
        <v>972.6709868893356</v>
      </c>
      <c r="E774">
        <f>C774&lt;0.05</f>
        <v/>
      </c>
      <c r="F774">
        <f>A774=$B$5</f>
        <v/>
      </c>
      <c r="G774">
        <f>IF(E774,A774,10^9)</f>
        <v/>
      </c>
      <c r="H774">
        <f>IF(E774,D774,10^9)</f>
        <v/>
      </c>
    </row>
    <row r="775">
      <c r="A775" t="n">
        <v>767</v>
      </c>
      <c r="B775" t="n">
        <v>0</v>
      </c>
      <c r="C775" t="n">
        <v>0</v>
      </c>
      <c r="D775" t="n">
        <v>973.6709868893356</v>
      </c>
      <c r="E775">
        <f>C775&lt;0.05</f>
        <v/>
      </c>
      <c r="F775">
        <f>A775=$B$5</f>
        <v/>
      </c>
      <c r="G775">
        <f>IF(E775,A775,10^9)</f>
        <v/>
      </c>
      <c r="H775">
        <f>IF(E775,D775,10^9)</f>
        <v/>
      </c>
    </row>
    <row r="776">
      <c r="A776" t="n">
        <v>768</v>
      </c>
      <c r="B776" t="n">
        <v>0</v>
      </c>
      <c r="C776" t="n">
        <v>0</v>
      </c>
      <c r="D776" t="n">
        <v>974.6709868893356</v>
      </c>
      <c r="E776">
        <f>C776&lt;0.05</f>
        <v/>
      </c>
      <c r="F776">
        <f>A776=$B$5</f>
        <v/>
      </c>
      <c r="G776">
        <f>IF(E776,A776,10^9)</f>
        <v/>
      </c>
      <c r="H776">
        <f>IF(E776,D776,10^9)</f>
        <v/>
      </c>
    </row>
    <row r="777">
      <c r="A777" t="n">
        <v>769</v>
      </c>
      <c r="B777" t="n">
        <v>0</v>
      </c>
      <c r="C777" t="n">
        <v>0</v>
      </c>
      <c r="D777" t="n">
        <v>975.6709868893356</v>
      </c>
      <c r="E777">
        <f>C777&lt;0.05</f>
        <v/>
      </c>
      <c r="F777">
        <f>A777=$B$5</f>
        <v/>
      </c>
      <c r="G777">
        <f>IF(E777,A777,10^9)</f>
        <v/>
      </c>
      <c r="H777">
        <f>IF(E777,D777,10^9)</f>
        <v/>
      </c>
    </row>
    <row r="778">
      <c r="A778" t="n">
        <v>770</v>
      </c>
      <c r="B778" t="n">
        <v>0</v>
      </c>
      <c r="C778" t="n">
        <v>0</v>
      </c>
      <c r="D778" t="n">
        <v>976.6709868893356</v>
      </c>
      <c r="E778">
        <f>C778&lt;0.05</f>
        <v/>
      </c>
      <c r="F778">
        <f>A778=$B$5</f>
        <v/>
      </c>
      <c r="G778">
        <f>IF(E778,A778,10^9)</f>
        <v/>
      </c>
      <c r="H778">
        <f>IF(E778,D778,10^9)</f>
        <v/>
      </c>
    </row>
    <row r="779">
      <c r="A779" t="n">
        <v>771</v>
      </c>
      <c r="B779" t="n">
        <v>0</v>
      </c>
      <c r="C779" t="n">
        <v>0</v>
      </c>
      <c r="D779" t="n">
        <v>977.6709868893356</v>
      </c>
      <c r="E779">
        <f>C779&lt;0.05</f>
        <v/>
      </c>
      <c r="F779">
        <f>A779=$B$5</f>
        <v/>
      </c>
      <c r="G779">
        <f>IF(E779,A779,10^9)</f>
        <v/>
      </c>
      <c r="H779">
        <f>IF(E779,D779,10^9)</f>
        <v/>
      </c>
    </row>
    <row r="780">
      <c r="A780" t="n">
        <v>772</v>
      </c>
      <c r="B780" t="n">
        <v>0</v>
      </c>
      <c r="C780" t="n">
        <v>0</v>
      </c>
      <c r="D780" t="n">
        <v>978.6709868893356</v>
      </c>
      <c r="E780">
        <f>C780&lt;0.05</f>
        <v/>
      </c>
      <c r="F780">
        <f>A780=$B$5</f>
        <v/>
      </c>
      <c r="G780">
        <f>IF(E780,A780,10^9)</f>
        <v/>
      </c>
      <c r="H780">
        <f>IF(E780,D780,10^9)</f>
        <v/>
      </c>
    </row>
    <row r="781">
      <c r="A781" t="n">
        <v>773</v>
      </c>
      <c r="B781" t="n">
        <v>0</v>
      </c>
      <c r="C781" t="n">
        <v>0</v>
      </c>
      <c r="D781" t="n">
        <v>979.6709868893356</v>
      </c>
      <c r="E781">
        <f>C781&lt;0.05</f>
        <v/>
      </c>
      <c r="F781">
        <f>A781=$B$5</f>
        <v/>
      </c>
      <c r="G781">
        <f>IF(E781,A781,10^9)</f>
        <v/>
      </c>
      <c r="H781">
        <f>IF(E781,D781,10^9)</f>
        <v/>
      </c>
    </row>
    <row r="782">
      <c r="A782" t="n">
        <v>774</v>
      </c>
      <c r="B782" t="n">
        <v>0</v>
      </c>
      <c r="C782" t="n">
        <v>0</v>
      </c>
      <c r="D782" t="n">
        <v>980.6709868893356</v>
      </c>
      <c r="E782">
        <f>C782&lt;0.05</f>
        <v/>
      </c>
      <c r="F782">
        <f>A782=$B$5</f>
        <v/>
      </c>
      <c r="G782">
        <f>IF(E782,A782,10^9)</f>
        <v/>
      </c>
      <c r="H782">
        <f>IF(E782,D782,10^9)</f>
        <v/>
      </c>
    </row>
    <row r="783">
      <c r="A783" t="n">
        <v>775</v>
      </c>
      <c r="B783" t="n">
        <v>0</v>
      </c>
      <c r="C783" t="n">
        <v>0</v>
      </c>
      <c r="D783" t="n">
        <v>981.6709868893356</v>
      </c>
      <c r="E783">
        <f>C783&lt;0.05</f>
        <v/>
      </c>
      <c r="F783">
        <f>A783=$B$5</f>
        <v/>
      </c>
      <c r="G783">
        <f>IF(E783,A783,10^9)</f>
        <v/>
      </c>
      <c r="H783">
        <f>IF(E783,D783,10^9)</f>
        <v/>
      </c>
    </row>
    <row r="784">
      <c r="A784" t="n">
        <v>776</v>
      </c>
      <c r="B784" t="n">
        <v>0</v>
      </c>
      <c r="C784" t="n">
        <v>0</v>
      </c>
      <c r="D784" t="n">
        <v>982.6709868893356</v>
      </c>
      <c r="E784">
        <f>C784&lt;0.05</f>
        <v/>
      </c>
      <c r="F784">
        <f>A784=$B$5</f>
        <v/>
      </c>
      <c r="G784">
        <f>IF(E784,A784,10^9)</f>
        <v/>
      </c>
      <c r="H784">
        <f>IF(E784,D784,10^9)</f>
        <v/>
      </c>
    </row>
    <row r="785">
      <c r="A785" t="n">
        <v>777</v>
      </c>
      <c r="B785" t="n">
        <v>0</v>
      </c>
      <c r="C785" t="n">
        <v>0</v>
      </c>
      <c r="D785" t="n">
        <v>983.6709868893356</v>
      </c>
      <c r="E785">
        <f>C785&lt;0.05</f>
        <v/>
      </c>
      <c r="F785">
        <f>A785=$B$5</f>
        <v/>
      </c>
      <c r="G785">
        <f>IF(E785,A785,10^9)</f>
        <v/>
      </c>
      <c r="H785">
        <f>IF(E785,D785,10^9)</f>
        <v/>
      </c>
    </row>
    <row r="786">
      <c r="A786" t="n">
        <v>778</v>
      </c>
      <c r="B786" t="n">
        <v>0</v>
      </c>
      <c r="C786" t="n">
        <v>0</v>
      </c>
      <c r="D786" t="n">
        <v>984.6709868893356</v>
      </c>
      <c r="E786">
        <f>C786&lt;0.05</f>
        <v/>
      </c>
      <c r="F786">
        <f>A786=$B$5</f>
        <v/>
      </c>
      <c r="G786">
        <f>IF(E786,A786,10^9)</f>
        <v/>
      </c>
      <c r="H786">
        <f>IF(E786,D786,10^9)</f>
        <v/>
      </c>
    </row>
    <row r="787">
      <c r="A787" t="n">
        <v>779</v>
      </c>
      <c r="B787" t="n">
        <v>0</v>
      </c>
      <c r="C787" t="n">
        <v>0</v>
      </c>
      <c r="D787" t="n">
        <v>985.6709868893355</v>
      </c>
      <c r="E787">
        <f>C787&lt;0.05</f>
        <v/>
      </c>
      <c r="F787">
        <f>A787=$B$5</f>
        <v/>
      </c>
      <c r="G787">
        <f>IF(E787,A787,10^9)</f>
        <v/>
      </c>
      <c r="H787">
        <f>IF(E787,D787,10^9)</f>
        <v/>
      </c>
    </row>
    <row r="788">
      <c r="A788" t="n">
        <v>780</v>
      </c>
      <c r="B788" t="n">
        <v>0</v>
      </c>
      <c r="C788" t="n">
        <v>0</v>
      </c>
      <c r="D788" t="n">
        <v>986.6709868893355</v>
      </c>
      <c r="E788">
        <f>C788&lt;0.05</f>
        <v/>
      </c>
      <c r="F788">
        <f>A788=$B$5</f>
        <v/>
      </c>
      <c r="G788">
        <f>IF(E788,A788,10^9)</f>
        <v/>
      </c>
      <c r="H788">
        <f>IF(E788,D788,10^9)</f>
        <v/>
      </c>
    </row>
    <row r="789">
      <c r="A789" t="n">
        <v>781</v>
      </c>
      <c r="B789" t="n">
        <v>0</v>
      </c>
      <c r="C789" t="n">
        <v>0</v>
      </c>
      <c r="D789" t="n">
        <v>987.6709868893355</v>
      </c>
      <c r="E789">
        <f>C789&lt;0.05</f>
        <v/>
      </c>
      <c r="F789">
        <f>A789=$B$5</f>
        <v/>
      </c>
      <c r="G789">
        <f>IF(E789,A789,10^9)</f>
        <v/>
      </c>
      <c r="H789">
        <f>IF(E789,D789,10^9)</f>
        <v/>
      </c>
    </row>
    <row r="790">
      <c r="A790" t="n">
        <v>782</v>
      </c>
      <c r="B790" t="n">
        <v>0</v>
      </c>
      <c r="C790" t="n">
        <v>0</v>
      </c>
      <c r="D790" t="n">
        <v>988.6709868893355</v>
      </c>
      <c r="E790">
        <f>C790&lt;0.05</f>
        <v/>
      </c>
      <c r="F790">
        <f>A790=$B$5</f>
        <v/>
      </c>
      <c r="G790">
        <f>IF(E790,A790,10^9)</f>
        <v/>
      </c>
      <c r="H790">
        <f>IF(E790,D790,10^9)</f>
        <v/>
      </c>
    </row>
    <row r="791">
      <c r="A791" t="n">
        <v>783</v>
      </c>
      <c r="B791" t="n">
        <v>0</v>
      </c>
      <c r="C791" t="n">
        <v>0</v>
      </c>
      <c r="D791" t="n">
        <v>989.6709868893355</v>
      </c>
      <c r="E791">
        <f>C791&lt;0.05</f>
        <v/>
      </c>
      <c r="F791">
        <f>A791=$B$5</f>
        <v/>
      </c>
      <c r="G791">
        <f>IF(E791,A791,10^9)</f>
        <v/>
      </c>
      <c r="H791">
        <f>IF(E791,D791,10^9)</f>
        <v/>
      </c>
    </row>
    <row r="792">
      <c r="A792" t="n">
        <v>784</v>
      </c>
      <c r="B792" t="n">
        <v>0</v>
      </c>
      <c r="C792" t="n">
        <v>0</v>
      </c>
      <c r="D792" t="n">
        <v>990.6709868893355</v>
      </c>
      <c r="E792">
        <f>C792&lt;0.05</f>
        <v/>
      </c>
      <c r="F792">
        <f>A792=$B$5</f>
        <v/>
      </c>
      <c r="G792">
        <f>IF(E792,A792,10^9)</f>
        <v/>
      </c>
      <c r="H792">
        <f>IF(E792,D792,10^9)</f>
        <v/>
      </c>
    </row>
    <row r="793">
      <c r="A793" t="n">
        <v>785</v>
      </c>
      <c r="B793" t="n">
        <v>0</v>
      </c>
      <c r="C793" t="n">
        <v>0</v>
      </c>
      <c r="D793" t="n">
        <v>991.6709868893355</v>
      </c>
      <c r="E793">
        <f>C793&lt;0.05</f>
        <v/>
      </c>
      <c r="F793">
        <f>A793=$B$5</f>
        <v/>
      </c>
      <c r="G793">
        <f>IF(E793,A793,10^9)</f>
        <v/>
      </c>
      <c r="H793">
        <f>IF(E793,D793,10^9)</f>
        <v/>
      </c>
    </row>
    <row r="794">
      <c r="A794" t="n">
        <v>786</v>
      </c>
      <c r="B794" t="n">
        <v>0</v>
      </c>
      <c r="C794" t="n">
        <v>0</v>
      </c>
      <c r="D794" t="n">
        <v>992.6709868893355</v>
      </c>
      <c r="E794">
        <f>C794&lt;0.05</f>
        <v/>
      </c>
      <c r="F794">
        <f>A794=$B$5</f>
        <v/>
      </c>
      <c r="G794">
        <f>IF(E794,A794,10^9)</f>
        <v/>
      </c>
      <c r="H794">
        <f>IF(E794,D794,10^9)</f>
        <v/>
      </c>
    </row>
    <row r="795">
      <c r="A795" t="n">
        <v>787</v>
      </c>
      <c r="B795" t="n">
        <v>0</v>
      </c>
      <c r="C795" t="n">
        <v>0</v>
      </c>
      <c r="D795" t="n">
        <v>993.6709868893355</v>
      </c>
      <c r="E795">
        <f>C795&lt;0.05</f>
        <v/>
      </c>
      <c r="F795">
        <f>A795=$B$5</f>
        <v/>
      </c>
      <c r="G795">
        <f>IF(E795,A795,10^9)</f>
        <v/>
      </c>
      <c r="H795">
        <f>IF(E795,D795,10^9)</f>
        <v/>
      </c>
    </row>
    <row r="796">
      <c r="A796" t="n">
        <v>788</v>
      </c>
      <c r="B796" t="n">
        <v>0</v>
      </c>
      <c r="C796" t="n">
        <v>0</v>
      </c>
      <c r="D796" t="n">
        <v>994.6709868893355</v>
      </c>
      <c r="E796">
        <f>C796&lt;0.05</f>
        <v/>
      </c>
      <c r="F796">
        <f>A796=$B$5</f>
        <v/>
      </c>
      <c r="G796">
        <f>IF(E796,A796,10^9)</f>
        <v/>
      </c>
      <c r="H796">
        <f>IF(E796,D796,10^9)</f>
        <v/>
      </c>
    </row>
    <row r="797">
      <c r="A797" t="n">
        <v>789</v>
      </c>
      <c r="B797" t="n">
        <v>0</v>
      </c>
      <c r="C797" t="n">
        <v>0</v>
      </c>
      <c r="D797" t="n">
        <v>995.6709868893355</v>
      </c>
      <c r="E797">
        <f>C797&lt;0.05</f>
        <v/>
      </c>
      <c r="F797">
        <f>A797=$B$5</f>
        <v/>
      </c>
      <c r="G797">
        <f>IF(E797,A797,10^9)</f>
        <v/>
      </c>
      <c r="H797">
        <f>IF(E797,D797,10^9)</f>
        <v/>
      </c>
    </row>
    <row r="798">
      <c r="A798" t="n">
        <v>790</v>
      </c>
      <c r="B798" t="n">
        <v>0</v>
      </c>
      <c r="C798" t="n">
        <v>0</v>
      </c>
      <c r="D798" t="n">
        <v>996.6709868893355</v>
      </c>
      <c r="E798">
        <f>C798&lt;0.05</f>
        <v/>
      </c>
      <c r="F798">
        <f>A798=$B$5</f>
        <v/>
      </c>
      <c r="G798">
        <f>IF(E798,A798,10^9)</f>
        <v/>
      </c>
      <c r="H798">
        <f>IF(E798,D798,10^9)</f>
        <v/>
      </c>
    </row>
    <row r="799">
      <c r="A799" t="n">
        <v>791</v>
      </c>
      <c r="B799" t="n">
        <v>0</v>
      </c>
      <c r="C799" t="n">
        <v>0</v>
      </c>
      <c r="D799" t="n">
        <v>997.6709868893355</v>
      </c>
      <c r="E799">
        <f>C799&lt;0.05</f>
        <v/>
      </c>
      <c r="F799">
        <f>A799=$B$5</f>
        <v/>
      </c>
      <c r="G799">
        <f>IF(E799,A799,10^9)</f>
        <v/>
      </c>
      <c r="H799">
        <f>IF(E799,D799,10^9)</f>
        <v/>
      </c>
    </row>
    <row r="800">
      <c r="A800" t="n">
        <v>792</v>
      </c>
      <c r="B800" t="n">
        <v>0</v>
      </c>
      <c r="C800" t="n">
        <v>0</v>
      </c>
      <c r="D800" t="n">
        <v>998.6709868893355</v>
      </c>
      <c r="E800">
        <f>C800&lt;0.05</f>
        <v/>
      </c>
      <c r="F800">
        <f>A800=$B$5</f>
        <v/>
      </c>
      <c r="G800">
        <f>IF(E800,A800,10^9)</f>
        <v/>
      </c>
      <c r="H800">
        <f>IF(E800,D800,10^9)</f>
        <v/>
      </c>
    </row>
    <row r="801">
      <c r="A801" t="n">
        <v>793</v>
      </c>
      <c r="B801" t="n">
        <v>0</v>
      </c>
      <c r="C801" t="n">
        <v>0</v>
      </c>
      <c r="D801" t="n">
        <v>999.6709868893355</v>
      </c>
      <c r="E801">
        <f>C801&lt;0.05</f>
        <v/>
      </c>
      <c r="F801">
        <f>A801=$B$5</f>
        <v/>
      </c>
      <c r="G801">
        <f>IF(E801,A801,10^9)</f>
        <v/>
      </c>
      <c r="H801">
        <f>IF(E801,D801,10^9)</f>
        <v/>
      </c>
    </row>
    <row r="802">
      <c r="A802" t="n">
        <v>794</v>
      </c>
      <c r="B802" t="n">
        <v>0</v>
      </c>
      <c r="C802" t="n">
        <v>0</v>
      </c>
      <c r="D802" t="n">
        <v>1000.670986889335</v>
      </c>
      <c r="E802">
        <f>C802&lt;0.05</f>
        <v/>
      </c>
      <c r="F802">
        <f>A802=$B$5</f>
        <v/>
      </c>
      <c r="G802">
        <f>IF(E802,A802,10^9)</f>
        <v/>
      </c>
      <c r="H802">
        <f>IF(E802,D802,10^9)</f>
        <v/>
      </c>
    </row>
    <row r="803">
      <c r="A803" t="n">
        <v>795</v>
      </c>
      <c r="B803" t="n">
        <v>0</v>
      </c>
      <c r="C803" t="n">
        <v>0</v>
      </c>
      <c r="D803" t="n">
        <v>1001.670986889335</v>
      </c>
      <c r="E803">
        <f>C803&lt;0.05</f>
        <v/>
      </c>
      <c r="F803">
        <f>A803=$B$5</f>
        <v/>
      </c>
      <c r="G803">
        <f>IF(E803,A803,10^9)</f>
        <v/>
      </c>
      <c r="H803">
        <f>IF(E803,D803,10^9)</f>
        <v/>
      </c>
    </row>
    <row r="804">
      <c r="A804" t="n">
        <v>796</v>
      </c>
      <c r="B804" t="n">
        <v>0</v>
      </c>
      <c r="C804" t="n">
        <v>0</v>
      </c>
      <c r="D804" t="n">
        <v>1002.670986889335</v>
      </c>
      <c r="E804">
        <f>C804&lt;0.05</f>
        <v/>
      </c>
      <c r="F804">
        <f>A804=$B$5</f>
        <v/>
      </c>
      <c r="G804">
        <f>IF(E804,A804,10^9)</f>
        <v/>
      </c>
      <c r="H804">
        <f>IF(E804,D804,10^9)</f>
        <v/>
      </c>
    </row>
    <row r="805">
      <c r="A805" t="n">
        <v>797</v>
      </c>
      <c r="B805" t="n">
        <v>0</v>
      </c>
      <c r="C805" t="n">
        <v>0</v>
      </c>
      <c r="D805" t="n">
        <v>1003.670986889335</v>
      </c>
      <c r="E805">
        <f>C805&lt;0.05</f>
        <v/>
      </c>
      <c r="F805">
        <f>A805=$B$5</f>
        <v/>
      </c>
      <c r="G805">
        <f>IF(E805,A805,10^9)</f>
        <v/>
      </c>
      <c r="H805">
        <f>IF(E805,D805,10^9)</f>
        <v/>
      </c>
    </row>
    <row r="806">
      <c r="A806" t="n">
        <v>798</v>
      </c>
      <c r="B806" t="n">
        <v>0</v>
      </c>
      <c r="C806" t="n">
        <v>0</v>
      </c>
      <c r="D806" t="n">
        <v>1004.670986889335</v>
      </c>
      <c r="E806">
        <f>C806&lt;0.05</f>
        <v/>
      </c>
      <c r="F806">
        <f>A806=$B$5</f>
        <v/>
      </c>
      <c r="G806">
        <f>IF(E806,A806,10^9)</f>
        <v/>
      </c>
      <c r="H806">
        <f>IF(E806,D806,10^9)</f>
        <v/>
      </c>
    </row>
    <row r="807">
      <c r="A807" t="n">
        <v>799</v>
      </c>
      <c r="B807" t="n">
        <v>0</v>
      </c>
      <c r="C807" t="n">
        <v>0</v>
      </c>
      <c r="D807" t="n">
        <v>1005.670986889335</v>
      </c>
      <c r="E807">
        <f>C807&lt;0.05</f>
        <v/>
      </c>
      <c r="F807">
        <f>A807=$B$5</f>
        <v/>
      </c>
      <c r="G807">
        <f>IF(E807,A807,10^9)</f>
        <v/>
      </c>
      <c r="H807">
        <f>IF(E807,D807,10^9)</f>
        <v/>
      </c>
    </row>
    <row r="808">
      <c r="A808" t="n">
        <v>800</v>
      </c>
      <c r="B808" t="n">
        <v>0</v>
      </c>
      <c r="C808" t="n">
        <v>0</v>
      </c>
      <c r="D808" t="n">
        <v>1006.670986889335</v>
      </c>
      <c r="E808">
        <f>C808&lt;0.05</f>
        <v/>
      </c>
      <c r="F808">
        <f>A808=$B$5</f>
        <v/>
      </c>
      <c r="G808">
        <f>IF(E808,A808,10^9)</f>
        <v/>
      </c>
      <c r="H808">
        <f>IF(E808,D808,10^9)</f>
        <v/>
      </c>
    </row>
    <row r="809">
      <c r="A809" t="n">
        <v>801</v>
      </c>
      <c r="B809" t="n">
        <v>0</v>
      </c>
      <c r="C809" t="n">
        <v>0</v>
      </c>
      <c r="D809" t="n">
        <v>1007.670986889335</v>
      </c>
      <c r="E809">
        <f>C809&lt;0.05</f>
        <v/>
      </c>
      <c r="F809">
        <f>A809=$B$5</f>
        <v/>
      </c>
      <c r="G809">
        <f>IF(E809,A809,10^9)</f>
        <v/>
      </c>
      <c r="H809">
        <f>IF(E809,D809,10^9)</f>
        <v/>
      </c>
    </row>
    <row r="810">
      <c r="A810" t="n">
        <v>802</v>
      </c>
      <c r="B810" t="n">
        <v>0</v>
      </c>
      <c r="C810" t="n">
        <v>0</v>
      </c>
      <c r="D810" t="n">
        <v>1008.670986889335</v>
      </c>
      <c r="E810">
        <f>C810&lt;0.05</f>
        <v/>
      </c>
      <c r="F810">
        <f>A810=$B$5</f>
        <v/>
      </c>
      <c r="G810">
        <f>IF(E810,A810,10^9)</f>
        <v/>
      </c>
      <c r="H810">
        <f>IF(E810,D810,10^9)</f>
        <v/>
      </c>
    </row>
    <row r="811">
      <c r="A811" t="n">
        <v>803</v>
      </c>
      <c r="B811" t="n">
        <v>0</v>
      </c>
      <c r="C811" t="n">
        <v>0</v>
      </c>
      <c r="D811" t="n">
        <v>1009.670986889335</v>
      </c>
      <c r="E811">
        <f>C811&lt;0.05</f>
        <v/>
      </c>
      <c r="F811">
        <f>A811=$B$5</f>
        <v/>
      </c>
      <c r="G811">
        <f>IF(E811,A811,10^9)</f>
        <v/>
      </c>
      <c r="H811">
        <f>IF(E811,D811,10^9)</f>
        <v/>
      </c>
    </row>
    <row r="812">
      <c r="A812" t="n">
        <v>804</v>
      </c>
      <c r="B812" t="n">
        <v>0</v>
      </c>
      <c r="C812" t="n">
        <v>0</v>
      </c>
      <c r="D812" t="n">
        <v>1010.670986889335</v>
      </c>
      <c r="E812">
        <f>C812&lt;0.05</f>
        <v/>
      </c>
      <c r="F812">
        <f>A812=$B$5</f>
        <v/>
      </c>
      <c r="G812">
        <f>IF(E812,A812,10^9)</f>
        <v/>
      </c>
      <c r="H812">
        <f>IF(E812,D812,10^9)</f>
        <v/>
      </c>
    </row>
    <row r="813">
      <c r="A813" t="n">
        <v>805</v>
      </c>
      <c r="B813" t="n">
        <v>0</v>
      </c>
      <c r="C813" t="n">
        <v>0</v>
      </c>
      <c r="D813" t="n">
        <v>1011.670986889335</v>
      </c>
      <c r="E813">
        <f>C813&lt;0.05</f>
        <v/>
      </c>
      <c r="F813">
        <f>A813=$B$5</f>
        <v/>
      </c>
      <c r="G813">
        <f>IF(E813,A813,10^9)</f>
        <v/>
      </c>
      <c r="H813">
        <f>IF(E813,D813,10^9)</f>
        <v/>
      </c>
    </row>
    <row r="814">
      <c r="A814" t="n">
        <v>806</v>
      </c>
      <c r="B814" t="n">
        <v>0</v>
      </c>
      <c r="C814" t="n">
        <v>0</v>
      </c>
      <c r="D814" t="n">
        <v>1012.670986889335</v>
      </c>
      <c r="E814">
        <f>C814&lt;0.05</f>
        <v/>
      </c>
      <c r="F814">
        <f>A814=$B$5</f>
        <v/>
      </c>
      <c r="G814">
        <f>IF(E814,A814,10^9)</f>
        <v/>
      </c>
      <c r="H814">
        <f>IF(E814,D814,10^9)</f>
        <v/>
      </c>
    </row>
    <row r="815">
      <c r="A815" t="n">
        <v>807</v>
      </c>
      <c r="B815" t="n">
        <v>0</v>
      </c>
      <c r="C815" t="n">
        <v>0</v>
      </c>
      <c r="D815" t="n">
        <v>1013.670986889335</v>
      </c>
      <c r="E815">
        <f>C815&lt;0.05</f>
        <v/>
      </c>
      <c r="F815">
        <f>A815=$B$5</f>
        <v/>
      </c>
      <c r="G815">
        <f>IF(E815,A815,10^9)</f>
        <v/>
      </c>
      <c r="H815">
        <f>IF(E815,D815,10^9)</f>
        <v/>
      </c>
    </row>
    <row r="816">
      <c r="A816" t="n">
        <v>808</v>
      </c>
      <c r="B816" t="n">
        <v>0</v>
      </c>
      <c r="C816" t="n">
        <v>0</v>
      </c>
      <c r="D816" t="n">
        <v>1014.670986889335</v>
      </c>
      <c r="E816">
        <f>C816&lt;0.05</f>
        <v/>
      </c>
      <c r="F816">
        <f>A816=$B$5</f>
        <v/>
      </c>
      <c r="G816">
        <f>IF(E816,A816,10^9)</f>
        <v/>
      </c>
      <c r="H816">
        <f>IF(E816,D816,10^9)</f>
        <v/>
      </c>
    </row>
    <row r="817">
      <c r="A817" t="n">
        <v>809</v>
      </c>
      <c r="B817" t="n">
        <v>0</v>
      </c>
      <c r="C817" t="n">
        <v>0</v>
      </c>
      <c r="D817" t="n">
        <v>1015.670986889335</v>
      </c>
      <c r="E817">
        <f>C817&lt;0.05</f>
        <v/>
      </c>
      <c r="F817">
        <f>A817=$B$5</f>
        <v/>
      </c>
      <c r="G817">
        <f>IF(E817,A817,10^9)</f>
        <v/>
      </c>
      <c r="H817">
        <f>IF(E817,D817,10^9)</f>
        <v/>
      </c>
    </row>
    <row r="818">
      <c r="A818" t="n">
        <v>810</v>
      </c>
      <c r="B818" t="n">
        <v>0</v>
      </c>
      <c r="C818" t="n">
        <v>0</v>
      </c>
      <c r="D818" t="n">
        <v>1016.670986889335</v>
      </c>
      <c r="E818">
        <f>C818&lt;0.05</f>
        <v/>
      </c>
      <c r="F818">
        <f>A818=$B$5</f>
        <v/>
      </c>
      <c r="G818">
        <f>IF(E818,A818,10^9)</f>
        <v/>
      </c>
      <c r="H818">
        <f>IF(E818,D818,10^9)</f>
        <v/>
      </c>
    </row>
    <row r="819">
      <c r="A819" t="n">
        <v>811</v>
      </c>
      <c r="B819" t="n">
        <v>0</v>
      </c>
      <c r="C819" t="n">
        <v>0</v>
      </c>
      <c r="D819" t="n">
        <v>1017.670986889335</v>
      </c>
      <c r="E819">
        <f>C819&lt;0.05</f>
        <v/>
      </c>
      <c r="F819">
        <f>A819=$B$5</f>
        <v/>
      </c>
      <c r="G819">
        <f>IF(E819,A819,10^9)</f>
        <v/>
      </c>
      <c r="H819">
        <f>IF(E819,D819,10^9)</f>
        <v/>
      </c>
    </row>
    <row r="820">
      <c r="A820" t="n">
        <v>812</v>
      </c>
      <c r="B820" t="n">
        <v>0</v>
      </c>
      <c r="C820" t="n">
        <v>0</v>
      </c>
      <c r="D820" t="n">
        <v>1018.670986889335</v>
      </c>
      <c r="E820">
        <f>C820&lt;0.05</f>
        <v/>
      </c>
      <c r="F820">
        <f>A820=$B$5</f>
        <v/>
      </c>
      <c r="G820">
        <f>IF(E820,A820,10^9)</f>
        <v/>
      </c>
      <c r="H820">
        <f>IF(E820,D820,10^9)</f>
        <v/>
      </c>
    </row>
    <row r="821">
      <c r="A821" t="n">
        <v>813</v>
      </c>
      <c r="B821" t="n">
        <v>0</v>
      </c>
      <c r="C821" t="n">
        <v>0</v>
      </c>
      <c r="D821" t="n">
        <v>1019.670986889335</v>
      </c>
      <c r="E821">
        <f>C821&lt;0.05</f>
        <v/>
      </c>
      <c r="F821">
        <f>A821=$B$5</f>
        <v/>
      </c>
      <c r="G821">
        <f>IF(E821,A821,10^9)</f>
        <v/>
      </c>
      <c r="H821">
        <f>IF(E821,D821,10^9)</f>
        <v/>
      </c>
    </row>
    <row r="822">
      <c r="A822" t="n">
        <v>814</v>
      </c>
      <c r="B822" t="n">
        <v>0</v>
      </c>
      <c r="C822" t="n">
        <v>0</v>
      </c>
      <c r="D822" t="n">
        <v>1020.670986889335</v>
      </c>
      <c r="E822">
        <f>C822&lt;0.05</f>
        <v/>
      </c>
      <c r="F822">
        <f>A822=$B$5</f>
        <v/>
      </c>
      <c r="G822">
        <f>IF(E822,A822,10^9)</f>
        <v/>
      </c>
      <c r="H822">
        <f>IF(E822,D822,10^9)</f>
        <v/>
      </c>
    </row>
    <row r="823">
      <c r="A823" t="n">
        <v>815</v>
      </c>
      <c r="B823" t="n">
        <v>0</v>
      </c>
      <c r="C823" t="n">
        <v>0</v>
      </c>
      <c r="D823" t="n">
        <v>1021.670986889335</v>
      </c>
      <c r="E823">
        <f>C823&lt;0.05</f>
        <v/>
      </c>
      <c r="F823">
        <f>A823=$B$5</f>
        <v/>
      </c>
      <c r="G823">
        <f>IF(E823,A823,10^9)</f>
        <v/>
      </c>
      <c r="H823">
        <f>IF(E823,D823,10^9)</f>
        <v/>
      </c>
    </row>
    <row r="824">
      <c r="A824" t="n">
        <v>816</v>
      </c>
      <c r="B824" t="n">
        <v>0</v>
      </c>
      <c r="C824" t="n">
        <v>0</v>
      </c>
      <c r="D824" t="n">
        <v>1022.670986889335</v>
      </c>
      <c r="E824">
        <f>C824&lt;0.05</f>
        <v/>
      </c>
      <c r="F824">
        <f>A824=$B$5</f>
        <v/>
      </c>
      <c r="G824">
        <f>IF(E824,A824,10^9)</f>
        <v/>
      </c>
      <c r="H824">
        <f>IF(E824,D824,10^9)</f>
        <v/>
      </c>
    </row>
    <row r="825">
      <c r="A825" t="n">
        <v>817</v>
      </c>
      <c r="B825" t="n">
        <v>0</v>
      </c>
      <c r="C825" t="n">
        <v>0</v>
      </c>
      <c r="D825" t="n">
        <v>1023.670986889335</v>
      </c>
      <c r="E825">
        <f>C825&lt;0.05</f>
        <v/>
      </c>
      <c r="F825">
        <f>A825=$B$5</f>
        <v/>
      </c>
      <c r="G825">
        <f>IF(E825,A825,10^9)</f>
        <v/>
      </c>
      <c r="H825">
        <f>IF(E825,D825,10^9)</f>
        <v/>
      </c>
    </row>
    <row r="826">
      <c r="A826" t="n">
        <v>818</v>
      </c>
      <c r="B826" t="n">
        <v>0</v>
      </c>
      <c r="C826" t="n">
        <v>0</v>
      </c>
      <c r="D826" t="n">
        <v>1024.670986889335</v>
      </c>
      <c r="E826">
        <f>C826&lt;0.05</f>
        <v/>
      </c>
      <c r="F826">
        <f>A826=$B$5</f>
        <v/>
      </c>
      <c r="G826">
        <f>IF(E826,A826,10^9)</f>
        <v/>
      </c>
      <c r="H826">
        <f>IF(E826,D826,10^9)</f>
        <v/>
      </c>
    </row>
    <row r="827">
      <c r="A827" t="n">
        <v>819</v>
      </c>
      <c r="B827" t="n">
        <v>0</v>
      </c>
      <c r="C827" t="n">
        <v>0</v>
      </c>
      <c r="D827" t="n">
        <v>1025.670986889335</v>
      </c>
      <c r="E827">
        <f>C827&lt;0.05</f>
        <v/>
      </c>
      <c r="F827">
        <f>A827=$B$5</f>
        <v/>
      </c>
      <c r="G827">
        <f>IF(E827,A827,10^9)</f>
        <v/>
      </c>
      <c r="H827">
        <f>IF(E827,D827,10^9)</f>
        <v/>
      </c>
    </row>
    <row r="828">
      <c r="A828" t="n">
        <v>820</v>
      </c>
      <c r="B828" t="n">
        <v>0</v>
      </c>
      <c r="C828" t="n">
        <v>0</v>
      </c>
      <c r="D828" t="n">
        <v>1026.670986889335</v>
      </c>
      <c r="E828">
        <f>C828&lt;0.05</f>
        <v/>
      </c>
      <c r="F828">
        <f>A828=$B$5</f>
        <v/>
      </c>
      <c r="G828">
        <f>IF(E828,A828,10^9)</f>
        <v/>
      </c>
      <c r="H828">
        <f>IF(E828,D828,10^9)</f>
        <v/>
      </c>
    </row>
    <row r="829">
      <c r="A829" t="n">
        <v>821</v>
      </c>
      <c r="B829" t="n">
        <v>0</v>
      </c>
      <c r="C829" t="n">
        <v>0</v>
      </c>
      <c r="D829" t="n">
        <v>1027.670986889335</v>
      </c>
      <c r="E829">
        <f>C829&lt;0.05</f>
        <v/>
      </c>
      <c r="F829">
        <f>A829=$B$5</f>
        <v/>
      </c>
      <c r="G829">
        <f>IF(E829,A829,10^9)</f>
        <v/>
      </c>
      <c r="H829">
        <f>IF(E829,D829,10^9)</f>
        <v/>
      </c>
    </row>
    <row r="830">
      <c r="A830" t="n">
        <v>822</v>
      </c>
      <c r="B830" t="n">
        <v>0</v>
      </c>
      <c r="C830" t="n">
        <v>0</v>
      </c>
      <c r="D830" t="n">
        <v>1028.670986889335</v>
      </c>
      <c r="E830">
        <f>C830&lt;0.05</f>
        <v/>
      </c>
      <c r="F830">
        <f>A830=$B$5</f>
        <v/>
      </c>
      <c r="G830">
        <f>IF(E830,A830,10^9)</f>
        <v/>
      </c>
      <c r="H830">
        <f>IF(E830,D830,10^9)</f>
        <v/>
      </c>
    </row>
    <row r="831">
      <c r="A831" t="n">
        <v>823</v>
      </c>
      <c r="B831" t="n">
        <v>0</v>
      </c>
      <c r="C831" t="n">
        <v>0</v>
      </c>
      <c r="D831" t="n">
        <v>1029.670986889335</v>
      </c>
      <c r="E831">
        <f>C831&lt;0.05</f>
        <v/>
      </c>
      <c r="F831">
        <f>A831=$B$5</f>
        <v/>
      </c>
      <c r="G831">
        <f>IF(E831,A831,10^9)</f>
        <v/>
      </c>
      <c r="H831">
        <f>IF(E831,D831,10^9)</f>
        <v/>
      </c>
    </row>
    <row r="832">
      <c r="A832" t="n">
        <v>824</v>
      </c>
      <c r="B832" t="n">
        <v>0</v>
      </c>
      <c r="C832" t="n">
        <v>0</v>
      </c>
      <c r="D832" t="n">
        <v>1030.670986889335</v>
      </c>
      <c r="E832">
        <f>C832&lt;0.05</f>
        <v/>
      </c>
      <c r="F832">
        <f>A832=$B$5</f>
        <v/>
      </c>
      <c r="G832">
        <f>IF(E832,A832,10^9)</f>
        <v/>
      </c>
      <c r="H832">
        <f>IF(E832,D832,10^9)</f>
        <v/>
      </c>
    </row>
    <row r="833">
      <c r="A833" t="n">
        <v>825</v>
      </c>
      <c r="B833" t="n">
        <v>0</v>
      </c>
      <c r="C833" t="n">
        <v>0</v>
      </c>
      <c r="D833" t="n">
        <v>1031.670986889335</v>
      </c>
      <c r="E833">
        <f>C833&lt;0.05</f>
        <v/>
      </c>
      <c r="F833">
        <f>A833=$B$5</f>
        <v/>
      </c>
      <c r="G833">
        <f>IF(E833,A833,10^9)</f>
        <v/>
      </c>
      <c r="H833">
        <f>IF(E833,D833,10^9)</f>
        <v/>
      </c>
    </row>
    <row r="834">
      <c r="A834" t="n">
        <v>826</v>
      </c>
      <c r="B834" t="n">
        <v>0</v>
      </c>
      <c r="C834" t="n">
        <v>0</v>
      </c>
      <c r="D834" t="n">
        <v>1032.670986889335</v>
      </c>
      <c r="E834">
        <f>C834&lt;0.05</f>
        <v/>
      </c>
      <c r="F834">
        <f>A834=$B$5</f>
        <v/>
      </c>
      <c r="G834">
        <f>IF(E834,A834,10^9)</f>
        <v/>
      </c>
      <c r="H834">
        <f>IF(E834,D834,10^9)</f>
        <v/>
      </c>
    </row>
    <row r="835">
      <c r="A835" t="n">
        <v>827</v>
      </c>
      <c r="B835" t="n">
        <v>0</v>
      </c>
      <c r="C835" t="n">
        <v>0</v>
      </c>
      <c r="D835" t="n">
        <v>1033.670986889335</v>
      </c>
      <c r="E835">
        <f>C835&lt;0.05</f>
        <v/>
      </c>
      <c r="F835">
        <f>A835=$B$5</f>
        <v/>
      </c>
      <c r="G835">
        <f>IF(E835,A835,10^9)</f>
        <v/>
      </c>
      <c r="H835">
        <f>IF(E835,D835,10^9)</f>
        <v/>
      </c>
    </row>
    <row r="836">
      <c r="A836" t="n">
        <v>828</v>
      </c>
      <c r="B836" t="n">
        <v>0</v>
      </c>
      <c r="C836" t="n">
        <v>0</v>
      </c>
      <c r="D836" t="n">
        <v>1034.670986889335</v>
      </c>
      <c r="E836">
        <f>C836&lt;0.05</f>
        <v/>
      </c>
      <c r="F836">
        <f>A836=$B$5</f>
        <v/>
      </c>
      <c r="G836">
        <f>IF(E836,A836,10^9)</f>
        <v/>
      </c>
      <c r="H836">
        <f>IF(E836,D836,10^9)</f>
        <v/>
      </c>
    </row>
    <row r="837">
      <c r="A837" t="n">
        <v>829</v>
      </c>
      <c r="B837" t="n">
        <v>0</v>
      </c>
      <c r="C837" t="n">
        <v>0</v>
      </c>
      <c r="D837" t="n">
        <v>1035.670986889335</v>
      </c>
      <c r="E837">
        <f>C837&lt;0.05</f>
        <v/>
      </c>
      <c r="F837">
        <f>A837=$B$5</f>
        <v/>
      </c>
      <c r="G837">
        <f>IF(E837,A837,10^9)</f>
        <v/>
      </c>
      <c r="H837">
        <f>IF(E837,D837,10^9)</f>
        <v/>
      </c>
    </row>
    <row r="838">
      <c r="A838" t="n">
        <v>830</v>
      </c>
      <c r="B838" t="n">
        <v>0</v>
      </c>
      <c r="C838" t="n">
        <v>0</v>
      </c>
      <c r="D838" t="n">
        <v>1036.670986889335</v>
      </c>
      <c r="E838">
        <f>C838&lt;0.05</f>
        <v/>
      </c>
      <c r="F838">
        <f>A838=$B$5</f>
        <v/>
      </c>
      <c r="G838">
        <f>IF(E838,A838,10^9)</f>
        <v/>
      </c>
      <c r="H838">
        <f>IF(E838,D838,10^9)</f>
        <v/>
      </c>
    </row>
    <row r="839">
      <c r="A839" t="n">
        <v>831</v>
      </c>
      <c r="B839" t="n">
        <v>0</v>
      </c>
      <c r="C839" t="n">
        <v>0</v>
      </c>
      <c r="D839" t="n">
        <v>1037.670986889335</v>
      </c>
      <c r="E839">
        <f>C839&lt;0.05</f>
        <v/>
      </c>
      <c r="F839">
        <f>A839=$B$5</f>
        <v/>
      </c>
      <c r="G839">
        <f>IF(E839,A839,10^9)</f>
        <v/>
      </c>
      <c r="H839">
        <f>IF(E839,D839,10^9)</f>
        <v/>
      </c>
    </row>
    <row r="840">
      <c r="A840" t="n">
        <v>832</v>
      </c>
      <c r="B840" t="n">
        <v>0</v>
      </c>
      <c r="C840" t="n">
        <v>0</v>
      </c>
      <c r="D840" t="n">
        <v>1038.670986889335</v>
      </c>
      <c r="E840">
        <f>C840&lt;0.05</f>
        <v/>
      </c>
      <c r="F840">
        <f>A840=$B$5</f>
        <v/>
      </c>
      <c r="G840">
        <f>IF(E840,A840,10^9)</f>
        <v/>
      </c>
      <c r="H840">
        <f>IF(E840,D840,10^9)</f>
        <v/>
      </c>
    </row>
    <row r="841">
      <c r="A841" t="n">
        <v>833</v>
      </c>
      <c r="B841" t="n">
        <v>0</v>
      </c>
      <c r="C841" t="n">
        <v>0</v>
      </c>
      <c r="D841" t="n">
        <v>1039.670986889335</v>
      </c>
      <c r="E841">
        <f>C841&lt;0.05</f>
        <v/>
      </c>
      <c r="F841">
        <f>A841=$B$5</f>
        <v/>
      </c>
      <c r="G841">
        <f>IF(E841,A841,10^9)</f>
        <v/>
      </c>
      <c r="H841">
        <f>IF(E841,D841,10^9)</f>
        <v/>
      </c>
    </row>
    <row r="842">
      <c r="A842" t="n">
        <v>834</v>
      </c>
      <c r="B842" t="n">
        <v>0</v>
      </c>
      <c r="C842" t="n">
        <v>0</v>
      </c>
      <c r="D842" t="n">
        <v>1040.670986889335</v>
      </c>
      <c r="E842">
        <f>C842&lt;0.05</f>
        <v/>
      </c>
      <c r="F842">
        <f>A842=$B$5</f>
        <v/>
      </c>
      <c r="G842">
        <f>IF(E842,A842,10^9)</f>
        <v/>
      </c>
      <c r="H842">
        <f>IF(E842,D842,10^9)</f>
        <v/>
      </c>
    </row>
    <row r="843">
      <c r="A843" t="n">
        <v>835</v>
      </c>
      <c r="B843" t="n">
        <v>0</v>
      </c>
      <c r="C843" t="n">
        <v>0</v>
      </c>
      <c r="D843" t="n">
        <v>1041.670986889335</v>
      </c>
      <c r="E843">
        <f>C843&lt;0.05</f>
        <v/>
      </c>
      <c r="F843">
        <f>A843=$B$5</f>
        <v/>
      </c>
      <c r="G843">
        <f>IF(E843,A843,10^9)</f>
        <v/>
      </c>
      <c r="H843">
        <f>IF(E843,D843,10^9)</f>
        <v/>
      </c>
    </row>
    <row r="844">
      <c r="A844" t="n">
        <v>836</v>
      </c>
      <c r="B844" t="n">
        <v>0</v>
      </c>
      <c r="C844" t="n">
        <v>0</v>
      </c>
      <c r="D844" t="n">
        <v>1042.670986889335</v>
      </c>
      <c r="E844">
        <f>C844&lt;0.05</f>
        <v/>
      </c>
      <c r="F844">
        <f>A844=$B$5</f>
        <v/>
      </c>
      <c r="G844">
        <f>IF(E844,A844,10^9)</f>
        <v/>
      </c>
      <c r="H844">
        <f>IF(E844,D844,10^9)</f>
        <v/>
      </c>
    </row>
    <row r="845">
      <c r="A845" t="n">
        <v>837</v>
      </c>
      <c r="B845" t="n">
        <v>0</v>
      </c>
      <c r="C845" t="n">
        <v>0</v>
      </c>
      <c r="D845" t="n">
        <v>1043.670986889335</v>
      </c>
      <c r="E845">
        <f>C845&lt;0.05</f>
        <v/>
      </c>
      <c r="F845">
        <f>A845=$B$5</f>
        <v/>
      </c>
      <c r="G845">
        <f>IF(E845,A845,10^9)</f>
        <v/>
      </c>
      <c r="H845">
        <f>IF(E845,D845,10^9)</f>
        <v/>
      </c>
    </row>
    <row r="846">
      <c r="A846" t="n">
        <v>838</v>
      </c>
      <c r="B846" t="n">
        <v>0</v>
      </c>
      <c r="C846" t="n">
        <v>0</v>
      </c>
      <c r="D846" t="n">
        <v>1044.670986889335</v>
      </c>
      <c r="E846">
        <f>C846&lt;0.05</f>
        <v/>
      </c>
      <c r="F846">
        <f>A846=$B$5</f>
        <v/>
      </c>
      <c r="G846">
        <f>IF(E846,A846,10^9)</f>
        <v/>
      </c>
      <c r="H846">
        <f>IF(E846,D846,10^9)</f>
        <v/>
      </c>
    </row>
    <row r="847">
      <c r="A847" t="n">
        <v>839</v>
      </c>
      <c r="B847" t="n">
        <v>0</v>
      </c>
      <c r="C847" t="n">
        <v>0</v>
      </c>
      <c r="D847" t="n">
        <v>1045.670986889335</v>
      </c>
      <c r="E847">
        <f>C847&lt;0.05</f>
        <v/>
      </c>
      <c r="F847">
        <f>A847=$B$5</f>
        <v/>
      </c>
      <c r="G847">
        <f>IF(E847,A847,10^9)</f>
        <v/>
      </c>
      <c r="H847">
        <f>IF(E847,D847,10^9)</f>
        <v/>
      </c>
    </row>
    <row r="848">
      <c r="A848" t="n">
        <v>840</v>
      </c>
      <c r="B848" t="n">
        <v>0</v>
      </c>
      <c r="C848" t="n">
        <v>0</v>
      </c>
      <c r="D848" t="n">
        <v>1046.670986889335</v>
      </c>
      <c r="E848">
        <f>C848&lt;0.05</f>
        <v/>
      </c>
      <c r="F848">
        <f>A848=$B$5</f>
        <v/>
      </c>
      <c r="G848">
        <f>IF(E848,A848,10^9)</f>
        <v/>
      </c>
      <c r="H848">
        <f>IF(E848,D848,10^9)</f>
        <v/>
      </c>
    </row>
    <row r="849">
      <c r="A849" t="n">
        <v>841</v>
      </c>
      <c r="B849" t="n">
        <v>0</v>
      </c>
      <c r="C849" t="n">
        <v>0</v>
      </c>
      <c r="D849" t="n">
        <v>1047.670986889335</v>
      </c>
      <c r="E849">
        <f>C849&lt;0.05</f>
        <v/>
      </c>
      <c r="F849">
        <f>A849=$B$5</f>
        <v/>
      </c>
      <c r="G849">
        <f>IF(E849,A849,10^9)</f>
        <v/>
      </c>
      <c r="H849">
        <f>IF(E849,D849,10^9)</f>
        <v/>
      </c>
    </row>
    <row r="850">
      <c r="A850" t="n">
        <v>842</v>
      </c>
      <c r="B850" t="n">
        <v>0</v>
      </c>
      <c r="C850" t="n">
        <v>0</v>
      </c>
      <c r="D850" t="n">
        <v>1048.670986889335</v>
      </c>
      <c r="E850">
        <f>C850&lt;0.05</f>
        <v/>
      </c>
      <c r="F850">
        <f>A850=$B$5</f>
        <v/>
      </c>
      <c r="G850">
        <f>IF(E850,A850,10^9)</f>
        <v/>
      </c>
      <c r="H850">
        <f>IF(E850,D850,10^9)</f>
        <v/>
      </c>
    </row>
    <row r="851">
      <c r="A851" t="n">
        <v>843</v>
      </c>
      <c r="B851" t="n">
        <v>0</v>
      </c>
      <c r="C851" t="n">
        <v>0</v>
      </c>
      <c r="D851" t="n">
        <v>1049.670986889335</v>
      </c>
      <c r="E851">
        <f>C851&lt;0.05</f>
        <v/>
      </c>
      <c r="F851">
        <f>A851=$B$5</f>
        <v/>
      </c>
      <c r="G851">
        <f>IF(E851,A851,10^9)</f>
        <v/>
      </c>
      <c r="H851">
        <f>IF(E851,D851,10^9)</f>
        <v/>
      </c>
    </row>
    <row r="852">
      <c r="A852" t="n">
        <v>844</v>
      </c>
      <c r="B852" t="n">
        <v>0</v>
      </c>
      <c r="C852" t="n">
        <v>0</v>
      </c>
      <c r="D852" t="n">
        <v>1050.670986889335</v>
      </c>
      <c r="E852">
        <f>C852&lt;0.05</f>
        <v/>
      </c>
      <c r="F852">
        <f>A852=$B$5</f>
        <v/>
      </c>
      <c r="G852">
        <f>IF(E852,A852,10^9)</f>
        <v/>
      </c>
      <c r="H852">
        <f>IF(E852,D852,10^9)</f>
        <v/>
      </c>
    </row>
    <row r="853">
      <c r="A853" t="n">
        <v>845</v>
      </c>
      <c r="B853" t="n">
        <v>0</v>
      </c>
      <c r="C853" t="n">
        <v>0</v>
      </c>
      <c r="D853" t="n">
        <v>1051.670986889335</v>
      </c>
      <c r="E853">
        <f>C853&lt;0.05</f>
        <v/>
      </c>
      <c r="F853">
        <f>A853=$B$5</f>
        <v/>
      </c>
      <c r="G853">
        <f>IF(E853,A853,10^9)</f>
        <v/>
      </c>
      <c r="H853">
        <f>IF(E853,D853,10^9)</f>
        <v/>
      </c>
    </row>
    <row r="854">
      <c r="A854" t="n">
        <v>846</v>
      </c>
      <c r="B854" t="n">
        <v>0</v>
      </c>
      <c r="C854" t="n">
        <v>0</v>
      </c>
      <c r="D854" t="n">
        <v>1052.670986889335</v>
      </c>
      <c r="E854">
        <f>C854&lt;0.05</f>
        <v/>
      </c>
      <c r="F854">
        <f>A854=$B$5</f>
        <v/>
      </c>
      <c r="G854">
        <f>IF(E854,A854,10^9)</f>
        <v/>
      </c>
      <c r="H854">
        <f>IF(E854,D854,10^9)</f>
        <v/>
      </c>
    </row>
    <row r="855">
      <c r="A855" t="n">
        <v>847</v>
      </c>
      <c r="B855" t="n">
        <v>0</v>
      </c>
      <c r="C855" t="n">
        <v>0</v>
      </c>
      <c r="D855" t="n">
        <v>1053.670986889335</v>
      </c>
      <c r="E855">
        <f>C855&lt;0.05</f>
        <v/>
      </c>
      <c r="F855">
        <f>A855=$B$5</f>
        <v/>
      </c>
      <c r="G855">
        <f>IF(E855,A855,10^9)</f>
        <v/>
      </c>
      <c r="H855">
        <f>IF(E855,D855,10^9)</f>
        <v/>
      </c>
    </row>
    <row r="856">
      <c r="A856" t="n">
        <v>848</v>
      </c>
      <c r="B856" t="n">
        <v>0</v>
      </c>
      <c r="C856" t="n">
        <v>0</v>
      </c>
      <c r="D856" t="n">
        <v>1054.670986889335</v>
      </c>
      <c r="E856">
        <f>C856&lt;0.05</f>
        <v/>
      </c>
      <c r="F856">
        <f>A856=$B$5</f>
        <v/>
      </c>
      <c r="G856">
        <f>IF(E856,A856,10^9)</f>
        <v/>
      </c>
      <c r="H856">
        <f>IF(E856,D856,10^9)</f>
        <v/>
      </c>
    </row>
    <row r="857">
      <c r="A857" t="n">
        <v>849</v>
      </c>
      <c r="B857" t="n">
        <v>0</v>
      </c>
      <c r="C857" t="n">
        <v>0</v>
      </c>
      <c r="D857" t="n">
        <v>1055.670986889335</v>
      </c>
      <c r="E857">
        <f>C857&lt;0.05</f>
        <v/>
      </c>
      <c r="F857">
        <f>A857=$B$5</f>
        <v/>
      </c>
      <c r="G857">
        <f>IF(E857,A857,10^9)</f>
        <v/>
      </c>
      <c r="H857">
        <f>IF(E857,D857,10^9)</f>
        <v/>
      </c>
    </row>
    <row r="858">
      <c r="A858" t="n">
        <v>850</v>
      </c>
      <c r="B858" t="n">
        <v>0</v>
      </c>
      <c r="C858" t="n">
        <v>0</v>
      </c>
      <c r="D858" t="n">
        <v>1056.670986889335</v>
      </c>
      <c r="E858">
        <f>C858&lt;0.05</f>
        <v/>
      </c>
      <c r="F858">
        <f>A858=$B$5</f>
        <v/>
      </c>
      <c r="G858">
        <f>IF(E858,A858,10^9)</f>
        <v/>
      </c>
      <c r="H858">
        <f>IF(E858,D858,10^9)</f>
        <v/>
      </c>
    </row>
    <row r="859">
      <c r="A859" t="n">
        <v>851</v>
      </c>
      <c r="B859" t="n">
        <v>0</v>
      </c>
      <c r="C859" t="n">
        <v>0</v>
      </c>
      <c r="D859" t="n">
        <v>1057.670986889335</v>
      </c>
      <c r="E859">
        <f>C859&lt;0.05</f>
        <v/>
      </c>
      <c r="F859">
        <f>A859=$B$5</f>
        <v/>
      </c>
      <c r="G859">
        <f>IF(E859,A859,10^9)</f>
        <v/>
      </c>
      <c r="H859">
        <f>IF(E859,D859,10^9)</f>
        <v/>
      </c>
    </row>
    <row r="860">
      <c r="A860" t="n">
        <v>852</v>
      </c>
      <c r="B860" t="n">
        <v>0</v>
      </c>
      <c r="C860" t="n">
        <v>0</v>
      </c>
      <c r="D860" t="n">
        <v>1058.670986889335</v>
      </c>
      <c r="E860">
        <f>C860&lt;0.05</f>
        <v/>
      </c>
      <c r="F860">
        <f>A860=$B$5</f>
        <v/>
      </c>
      <c r="G860">
        <f>IF(E860,A860,10^9)</f>
        <v/>
      </c>
      <c r="H860">
        <f>IF(E860,D860,10^9)</f>
        <v/>
      </c>
    </row>
    <row r="861">
      <c r="A861" t="n">
        <v>853</v>
      </c>
      <c r="B861" t="n">
        <v>0</v>
      </c>
      <c r="C861" t="n">
        <v>0</v>
      </c>
      <c r="D861" t="n">
        <v>1059.670986889335</v>
      </c>
      <c r="E861">
        <f>C861&lt;0.05</f>
        <v/>
      </c>
      <c r="F861">
        <f>A861=$B$5</f>
        <v/>
      </c>
      <c r="G861">
        <f>IF(E861,A861,10^9)</f>
        <v/>
      </c>
      <c r="H861">
        <f>IF(E861,D861,10^9)</f>
        <v/>
      </c>
    </row>
    <row r="862">
      <c r="A862" t="n">
        <v>854</v>
      </c>
      <c r="B862" t="n">
        <v>0</v>
      </c>
      <c r="C862" t="n">
        <v>0</v>
      </c>
      <c r="D862" t="n">
        <v>1060.670986889335</v>
      </c>
      <c r="E862">
        <f>C862&lt;0.05</f>
        <v/>
      </c>
      <c r="F862">
        <f>A862=$B$5</f>
        <v/>
      </c>
      <c r="G862">
        <f>IF(E862,A862,10^9)</f>
        <v/>
      </c>
      <c r="H862">
        <f>IF(E862,D862,10^9)</f>
        <v/>
      </c>
    </row>
    <row r="863">
      <c r="A863" t="n">
        <v>855</v>
      </c>
      <c r="B863" t="n">
        <v>0</v>
      </c>
      <c r="C863" t="n">
        <v>0</v>
      </c>
      <c r="D863" t="n">
        <v>1061.670986889335</v>
      </c>
      <c r="E863">
        <f>C863&lt;0.05</f>
        <v/>
      </c>
      <c r="F863">
        <f>A863=$B$5</f>
        <v/>
      </c>
      <c r="G863">
        <f>IF(E863,A863,10^9)</f>
        <v/>
      </c>
      <c r="H863">
        <f>IF(E863,D863,10^9)</f>
        <v/>
      </c>
    </row>
    <row r="864">
      <c r="A864" t="n">
        <v>856</v>
      </c>
      <c r="B864" t="n">
        <v>0</v>
      </c>
      <c r="C864" t="n">
        <v>0</v>
      </c>
      <c r="D864" t="n">
        <v>1062.670986889335</v>
      </c>
      <c r="E864">
        <f>C864&lt;0.05</f>
        <v/>
      </c>
      <c r="F864">
        <f>A864=$B$5</f>
        <v/>
      </c>
      <c r="G864">
        <f>IF(E864,A864,10^9)</f>
        <v/>
      </c>
      <c r="H864">
        <f>IF(E864,D864,10^9)</f>
        <v/>
      </c>
    </row>
    <row r="865">
      <c r="A865" t="n">
        <v>857</v>
      </c>
      <c r="B865" t="n">
        <v>0</v>
      </c>
      <c r="C865" t="n">
        <v>0</v>
      </c>
      <c r="D865" t="n">
        <v>1063.670986889335</v>
      </c>
      <c r="E865">
        <f>C865&lt;0.05</f>
        <v/>
      </c>
      <c r="F865">
        <f>A865=$B$5</f>
        <v/>
      </c>
      <c r="G865">
        <f>IF(E865,A865,10^9)</f>
        <v/>
      </c>
      <c r="H865">
        <f>IF(E865,D865,10^9)</f>
        <v/>
      </c>
    </row>
    <row r="866">
      <c r="A866" t="n">
        <v>858</v>
      </c>
      <c r="B866" t="n">
        <v>0</v>
      </c>
      <c r="C866" t="n">
        <v>0</v>
      </c>
      <c r="D866" t="n">
        <v>1064.670986889335</v>
      </c>
      <c r="E866">
        <f>C866&lt;0.05</f>
        <v/>
      </c>
      <c r="F866">
        <f>A866=$B$5</f>
        <v/>
      </c>
      <c r="G866">
        <f>IF(E866,A866,10^9)</f>
        <v/>
      </c>
      <c r="H866">
        <f>IF(E866,D866,10^9)</f>
        <v/>
      </c>
    </row>
    <row r="867">
      <c r="A867" t="n">
        <v>859</v>
      </c>
      <c r="B867" t="n">
        <v>0</v>
      </c>
      <c r="C867" t="n">
        <v>0</v>
      </c>
      <c r="D867" t="n">
        <v>1065.670986889335</v>
      </c>
      <c r="E867">
        <f>C867&lt;0.05</f>
        <v/>
      </c>
      <c r="F867">
        <f>A867=$B$5</f>
        <v/>
      </c>
      <c r="G867">
        <f>IF(E867,A867,10^9)</f>
        <v/>
      </c>
      <c r="H867">
        <f>IF(E867,D867,10^9)</f>
        <v/>
      </c>
    </row>
    <row r="868">
      <c r="A868" t="n">
        <v>860</v>
      </c>
      <c r="B868" t="n">
        <v>0</v>
      </c>
      <c r="C868" t="n">
        <v>0</v>
      </c>
      <c r="D868" t="n">
        <v>1066.670986889335</v>
      </c>
      <c r="E868">
        <f>C868&lt;0.05</f>
        <v/>
      </c>
      <c r="F868">
        <f>A868=$B$5</f>
        <v/>
      </c>
      <c r="G868">
        <f>IF(E868,A868,10^9)</f>
        <v/>
      </c>
      <c r="H868">
        <f>IF(E868,D868,10^9)</f>
        <v/>
      </c>
    </row>
    <row r="869">
      <c r="A869" t="n">
        <v>861</v>
      </c>
      <c r="B869" t="n">
        <v>0</v>
      </c>
      <c r="C869" t="n">
        <v>0</v>
      </c>
      <c r="D869" t="n">
        <v>1067.670986889335</v>
      </c>
      <c r="E869">
        <f>C869&lt;0.05</f>
        <v/>
      </c>
      <c r="F869">
        <f>A869=$B$5</f>
        <v/>
      </c>
      <c r="G869">
        <f>IF(E869,A869,10^9)</f>
        <v/>
      </c>
      <c r="H869">
        <f>IF(E869,D869,10^9)</f>
        <v/>
      </c>
    </row>
    <row r="870">
      <c r="A870" t="n">
        <v>862</v>
      </c>
      <c r="B870" t="n">
        <v>0</v>
      </c>
      <c r="C870" t="n">
        <v>0</v>
      </c>
      <c r="D870" t="n">
        <v>1068.670986889335</v>
      </c>
      <c r="E870">
        <f>C870&lt;0.05</f>
        <v/>
      </c>
      <c r="F870">
        <f>A870=$B$5</f>
        <v/>
      </c>
      <c r="G870">
        <f>IF(E870,A870,10^9)</f>
        <v/>
      </c>
      <c r="H870">
        <f>IF(E870,D870,10^9)</f>
        <v/>
      </c>
    </row>
    <row r="871">
      <c r="A871" t="n">
        <v>863</v>
      </c>
      <c r="B871" t="n">
        <v>0</v>
      </c>
      <c r="C871" t="n">
        <v>0</v>
      </c>
      <c r="D871" t="n">
        <v>1069.670986889335</v>
      </c>
      <c r="E871">
        <f>C871&lt;0.05</f>
        <v/>
      </c>
      <c r="F871">
        <f>A871=$B$5</f>
        <v/>
      </c>
      <c r="G871">
        <f>IF(E871,A871,10^9)</f>
        <v/>
      </c>
      <c r="H871">
        <f>IF(E871,D871,10^9)</f>
        <v/>
      </c>
    </row>
    <row r="872">
      <c r="A872" t="n">
        <v>864</v>
      </c>
      <c r="B872" t="n">
        <v>0</v>
      </c>
      <c r="C872" t="n">
        <v>0</v>
      </c>
      <c r="D872" t="n">
        <v>1070.670986889335</v>
      </c>
      <c r="E872">
        <f>C872&lt;0.05</f>
        <v/>
      </c>
      <c r="F872">
        <f>A872=$B$5</f>
        <v/>
      </c>
      <c r="G872">
        <f>IF(E872,A872,10^9)</f>
        <v/>
      </c>
      <c r="H872">
        <f>IF(E872,D872,10^9)</f>
        <v/>
      </c>
    </row>
    <row r="873">
      <c r="A873" t="n">
        <v>865</v>
      </c>
      <c r="B873" t="n">
        <v>0</v>
      </c>
      <c r="C873" t="n">
        <v>0</v>
      </c>
      <c r="D873" t="n">
        <v>1071.670986889335</v>
      </c>
      <c r="E873">
        <f>C873&lt;0.05</f>
        <v/>
      </c>
      <c r="F873">
        <f>A873=$B$5</f>
        <v/>
      </c>
      <c r="G873">
        <f>IF(E873,A873,10^9)</f>
        <v/>
      </c>
      <c r="H873">
        <f>IF(E873,D873,10^9)</f>
        <v/>
      </c>
    </row>
    <row r="874">
      <c r="A874" t="n">
        <v>866</v>
      </c>
      <c r="B874" t="n">
        <v>0</v>
      </c>
      <c r="C874" t="n">
        <v>0</v>
      </c>
      <c r="D874" t="n">
        <v>1072.670986889335</v>
      </c>
      <c r="E874">
        <f>C874&lt;0.05</f>
        <v/>
      </c>
      <c r="F874">
        <f>A874=$B$5</f>
        <v/>
      </c>
      <c r="G874">
        <f>IF(E874,A874,10^9)</f>
        <v/>
      </c>
      <c r="H874">
        <f>IF(E874,D874,10^9)</f>
        <v/>
      </c>
    </row>
    <row r="875">
      <c r="A875" t="n">
        <v>867</v>
      </c>
      <c r="B875" t="n">
        <v>0</v>
      </c>
      <c r="C875" t="n">
        <v>0</v>
      </c>
      <c r="D875" t="n">
        <v>1073.670986889335</v>
      </c>
      <c r="E875">
        <f>C875&lt;0.05</f>
        <v/>
      </c>
      <c r="F875">
        <f>A875=$B$5</f>
        <v/>
      </c>
      <c r="G875">
        <f>IF(E875,A875,10^9)</f>
        <v/>
      </c>
      <c r="H875">
        <f>IF(E875,D875,10^9)</f>
        <v/>
      </c>
    </row>
    <row r="876">
      <c r="A876" t="n">
        <v>868</v>
      </c>
      <c r="B876" t="n">
        <v>0</v>
      </c>
      <c r="C876" t="n">
        <v>0</v>
      </c>
      <c r="D876" t="n">
        <v>1074.670986889335</v>
      </c>
      <c r="E876">
        <f>C876&lt;0.05</f>
        <v/>
      </c>
      <c r="F876">
        <f>A876=$B$5</f>
        <v/>
      </c>
      <c r="G876">
        <f>IF(E876,A876,10^9)</f>
        <v/>
      </c>
      <c r="H876">
        <f>IF(E876,D876,10^9)</f>
        <v/>
      </c>
    </row>
    <row r="877">
      <c r="A877" t="n">
        <v>869</v>
      </c>
      <c r="B877" t="n">
        <v>0</v>
      </c>
      <c r="C877" t="n">
        <v>0</v>
      </c>
      <c r="D877" t="n">
        <v>1075.670986889335</v>
      </c>
      <c r="E877">
        <f>C877&lt;0.05</f>
        <v/>
      </c>
      <c r="F877">
        <f>A877=$B$5</f>
        <v/>
      </c>
      <c r="G877">
        <f>IF(E877,A877,10^9)</f>
        <v/>
      </c>
      <c r="H877">
        <f>IF(E877,D877,10^9)</f>
        <v/>
      </c>
    </row>
    <row r="878">
      <c r="A878" t="n">
        <v>870</v>
      </c>
      <c r="B878" t="n">
        <v>0</v>
      </c>
      <c r="C878" t="n">
        <v>0</v>
      </c>
      <c r="D878" t="n">
        <v>1076.670986889335</v>
      </c>
      <c r="E878">
        <f>C878&lt;0.05</f>
        <v/>
      </c>
      <c r="F878">
        <f>A878=$B$5</f>
        <v/>
      </c>
      <c r="G878">
        <f>IF(E878,A878,10^9)</f>
        <v/>
      </c>
      <c r="H878">
        <f>IF(E878,D878,10^9)</f>
        <v/>
      </c>
    </row>
    <row r="879">
      <c r="A879" t="n">
        <v>871</v>
      </c>
      <c r="B879" t="n">
        <v>0</v>
      </c>
      <c r="C879" t="n">
        <v>0</v>
      </c>
      <c r="D879" t="n">
        <v>1077.670986889335</v>
      </c>
      <c r="E879">
        <f>C879&lt;0.05</f>
        <v/>
      </c>
      <c r="F879">
        <f>A879=$B$5</f>
        <v/>
      </c>
      <c r="G879">
        <f>IF(E879,A879,10^9)</f>
        <v/>
      </c>
      <c r="H879">
        <f>IF(E879,D879,10^9)</f>
        <v/>
      </c>
    </row>
    <row r="880">
      <c r="A880" t="n">
        <v>872</v>
      </c>
      <c r="B880" t="n">
        <v>0</v>
      </c>
      <c r="C880" t="n">
        <v>0</v>
      </c>
      <c r="D880" t="n">
        <v>1078.670986889335</v>
      </c>
      <c r="E880">
        <f>C880&lt;0.05</f>
        <v/>
      </c>
      <c r="F880">
        <f>A880=$B$5</f>
        <v/>
      </c>
      <c r="G880">
        <f>IF(E880,A880,10^9)</f>
        <v/>
      </c>
      <c r="H880">
        <f>IF(E880,D880,10^9)</f>
        <v/>
      </c>
    </row>
    <row r="881">
      <c r="A881" t="n">
        <v>873</v>
      </c>
      <c r="B881" t="n">
        <v>0</v>
      </c>
      <c r="C881" t="n">
        <v>0</v>
      </c>
      <c r="D881" t="n">
        <v>1079.670986889335</v>
      </c>
      <c r="E881">
        <f>C881&lt;0.05</f>
        <v/>
      </c>
      <c r="F881">
        <f>A881=$B$5</f>
        <v/>
      </c>
      <c r="G881">
        <f>IF(E881,A881,10^9)</f>
        <v/>
      </c>
      <c r="H881">
        <f>IF(E881,D881,10^9)</f>
        <v/>
      </c>
    </row>
    <row r="882">
      <c r="A882" t="n">
        <v>874</v>
      </c>
      <c r="B882" t="n">
        <v>0</v>
      </c>
      <c r="C882" t="n">
        <v>0</v>
      </c>
      <c r="D882" t="n">
        <v>1080.670986889335</v>
      </c>
      <c r="E882">
        <f>C882&lt;0.05</f>
        <v/>
      </c>
      <c r="F882">
        <f>A882=$B$5</f>
        <v/>
      </c>
      <c r="G882">
        <f>IF(E882,A882,10^9)</f>
        <v/>
      </c>
      <c r="H882">
        <f>IF(E882,D882,10^9)</f>
        <v/>
      </c>
    </row>
    <row r="883">
      <c r="A883" t="n">
        <v>875</v>
      </c>
      <c r="B883" t="n">
        <v>0</v>
      </c>
      <c r="C883" t="n">
        <v>0</v>
      </c>
      <c r="D883" t="n">
        <v>1081.670986889335</v>
      </c>
      <c r="E883">
        <f>C883&lt;0.05</f>
        <v/>
      </c>
      <c r="F883">
        <f>A883=$B$5</f>
        <v/>
      </c>
      <c r="G883">
        <f>IF(E883,A883,10^9)</f>
        <v/>
      </c>
      <c r="H883">
        <f>IF(E883,D883,10^9)</f>
        <v/>
      </c>
    </row>
    <row r="884">
      <c r="A884" t="n">
        <v>876</v>
      </c>
      <c r="B884" t="n">
        <v>0</v>
      </c>
      <c r="C884" t="n">
        <v>0</v>
      </c>
      <c r="D884" t="n">
        <v>1082.670986889335</v>
      </c>
      <c r="E884">
        <f>C884&lt;0.05</f>
        <v/>
      </c>
      <c r="F884">
        <f>A884=$B$5</f>
        <v/>
      </c>
      <c r="G884">
        <f>IF(E884,A884,10^9)</f>
        <v/>
      </c>
      <c r="H884">
        <f>IF(E884,D884,10^9)</f>
        <v/>
      </c>
    </row>
    <row r="885">
      <c r="A885" t="n">
        <v>877</v>
      </c>
      <c r="B885" t="n">
        <v>0</v>
      </c>
      <c r="C885" t="n">
        <v>0</v>
      </c>
      <c r="D885" t="n">
        <v>1083.670986889335</v>
      </c>
      <c r="E885">
        <f>C885&lt;0.05</f>
        <v/>
      </c>
      <c r="F885">
        <f>A885=$B$5</f>
        <v/>
      </c>
      <c r="G885">
        <f>IF(E885,A885,10^9)</f>
        <v/>
      </c>
      <c r="H885">
        <f>IF(E885,D885,10^9)</f>
        <v/>
      </c>
    </row>
    <row r="886">
      <c r="A886" t="n">
        <v>878</v>
      </c>
      <c r="B886" t="n">
        <v>0</v>
      </c>
      <c r="C886" t="n">
        <v>0</v>
      </c>
      <c r="D886" t="n">
        <v>1084.670986889335</v>
      </c>
      <c r="E886">
        <f>C886&lt;0.05</f>
        <v/>
      </c>
      <c r="F886">
        <f>A886=$B$5</f>
        <v/>
      </c>
      <c r="G886">
        <f>IF(E886,A886,10^9)</f>
        <v/>
      </c>
      <c r="H886">
        <f>IF(E886,D886,10^9)</f>
        <v/>
      </c>
    </row>
    <row r="887">
      <c r="A887" t="n">
        <v>879</v>
      </c>
      <c r="B887" t="n">
        <v>0</v>
      </c>
      <c r="C887" t="n">
        <v>0</v>
      </c>
      <c r="D887" t="n">
        <v>1085.670986889335</v>
      </c>
      <c r="E887">
        <f>C887&lt;0.05</f>
        <v/>
      </c>
      <c r="F887">
        <f>A887=$B$5</f>
        <v/>
      </c>
      <c r="G887">
        <f>IF(E887,A887,10^9)</f>
        <v/>
      </c>
      <c r="H887">
        <f>IF(E887,D887,10^9)</f>
        <v/>
      </c>
    </row>
    <row r="888">
      <c r="A888" t="n">
        <v>880</v>
      </c>
      <c r="B888" t="n">
        <v>0</v>
      </c>
      <c r="C888" t="n">
        <v>0</v>
      </c>
      <c r="D888" t="n">
        <v>1086.670986889335</v>
      </c>
      <c r="E888">
        <f>C888&lt;0.05</f>
        <v/>
      </c>
      <c r="F888">
        <f>A888=$B$5</f>
        <v/>
      </c>
      <c r="G888">
        <f>IF(E888,A888,10^9)</f>
        <v/>
      </c>
      <c r="H888">
        <f>IF(E888,D888,10^9)</f>
        <v/>
      </c>
    </row>
    <row r="889">
      <c r="A889" t="n">
        <v>881</v>
      </c>
      <c r="B889" t="n">
        <v>0</v>
      </c>
      <c r="C889" t="n">
        <v>0</v>
      </c>
      <c r="D889" t="n">
        <v>1087.670986889335</v>
      </c>
      <c r="E889">
        <f>C889&lt;0.05</f>
        <v/>
      </c>
      <c r="F889">
        <f>A889=$B$5</f>
        <v/>
      </c>
      <c r="G889">
        <f>IF(E889,A889,10^9)</f>
        <v/>
      </c>
      <c r="H889">
        <f>IF(E889,D889,10^9)</f>
        <v/>
      </c>
    </row>
    <row r="890">
      <c r="A890" t="n">
        <v>882</v>
      </c>
      <c r="B890" t="n">
        <v>0</v>
      </c>
      <c r="C890" t="n">
        <v>0</v>
      </c>
      <c r="D890" t="n">
        <v>1088.670986889335</v>
      </c>
      <c r="E890">
        <f>C890&lt;0.05</f>
        <v/>
      </c>
      <c r="F890">
        <f>A890=$B$5</f>
        <v/>
      </c>
      <c r="G890">
        <f>IF(E890,A890,10^9)</f>
        <v/>
      </c>
      <c r="H890">
        <f>IF(E890,D890,10^9)</f>
        <v/>
      </c>
    </row>
    <row r="891">
      <c r="A891" t="n">
        <v>883</v>
      </c>
      <c r="B891" t="n">
        <v>0</v>
      </c>
      <c r="C891" t="n">
        <v>0</v>
      </c>
      <c r="D891" t="n">
        <v>1089.670986889335</v>
      </c>
      <c r="E891">
        <f>C891&lt;0.05</f>
        <v/>
      </c>
      <c r="F891">
        <f>A891=$B$5</f>
        <v/>
      </c>
      <c r="G891">
        <f>IF(E891,A891,10^9)</f>
        <v/>
      </c>
      <c r="H891">
        <f>IF(E891,D891,10^9)</f>
        <v/>
      </c>
    </row>
    <row r="892">
      <c r="A892" t="n">
        <v>884</v>
      </c>
      <c r="B892" t="n">
        <v>0</v>
      </c>
      <c r="C892" t="n">
        <v>0</v>
      </c>
      <c r="D892" t="n">
        <v>1090.670986889335</v>
      </c>
      <c r="E892">
        <f>C892&lt;0.05</f>
        <v/>
      </c>
      <c r="F892">
        <f>A892=$B$5</f>
        <v/>
      </c>
      <c r="G892">
        <f>IF(E892,A892,10^9)</f>
        <v/>
      </c>
      <c r="H892">
        <f>IF(E892,D892,10^9)</f>
        <v/>
      </c>
    </row>
    <row r="893">
      <c r="A893" t="n">
        <v>885</v>
      </c>
      <c r="B893" t="n">
        <v>0</v>
      </c>
      <c r="C893" t="n">
        <v>0</v>
      </c>
      <c r="D893" t="n">
        <v>1091.670986889335</v>
      </c>
      <c r="E893">
        <f>C893&lt;0.05</f>
        <v/>
      </c>
      <c r="F893">
        <f>A893=$B$5</f>
        <v/>
      </c>
      <c r="G893">
        <f>IF(E893,A893,10^9)</f>
        <v/>
      </c>
      <c r="H893">
        <f>IF(E893,D893,10^9)</f>
        <v/>
      </c>
    </row>
    <row r="894">
      <c r="A894" t="n">
        <v>886</v>
      </c>
      <c r="B894" t="n">
        <v>0</v>
      </c>
      <c r="C894" t="n">
        <v>0</v>
      </c>
      <c r="D894" t="n">
        <v>1092.670986889335</v>
      </c>
      <c r="E894">
        <f>C894&lt;0.05</f>
        <v/>
      </c>
      <c r="F894">
        <f>A894=$B$5</f>
        <v/>
      </c>
      <c r="G894">
        <f>IF(E894,A894,10^9)</f>
        <v/>
      </c>
      <c r="H894">
        <f>IF(E894,D894,10^9)</f>
        <v/>
      </c>
    </row>
    <row r="895">
      <c r="A895" t="n">
        <v>887</v>
      </c>
      <c r="B895" t="n">
        <v>0</v>
      </c>
      <c r="C895" t="n">
        <v>0</v>
      </c>
      <c r="D895" t="n">
        <v>1093.670986889335</v>
      </c>
      <c r="E895">
        <f>C895&lt;0.05</f>
        <v/>
      </c>
      <c r="F895">
        <f>A895=$B$5</f>
        <v/>
      </c>
      <c r="G895">
        <f>IF(E895,A895,10^9)</f>
        <v/>
      </c>
      <c r="H895">
        <f>IF(E895,D895,10^9)</f>
        <v/>
      </c>
    </row>
    <row r="896">
      <c r="A896" t="n">
        <v>888</v>
      </c>
      <c r="B896" t="n">
        <v>0</v>
      </c>
      <c r="C896" t="n">
        <v>0</v>
      </c>
      <c r="D896" t="n">
        <v>1094.670986889335</v>
      </c>
      <c r="E896">
        <f>C896&lt;0.05</f>
        <v/>
      </c>
      <c r="F896">
        <f>A896=$B$5</f>
        <v/>
      </c>
      <c r="G896">
        <f>IF(E896,A896,10^9)</f>
        <v/>
      </c>
      <c r="H896">
        <f>IF(E896,D896,10^9)</f>
        <v/>
      </c>
    </row>
    <row r="897">
      <c r="A897" t="n">
        <v>889</v>
      </c>
      <c r="B897" t="n">
        <v>0</v>
      </c>
      <c r="C897" t="n">
        <v>0</v>
      </c>
      <c r="D897" t="n">
        <v>1095.670986889335</v>
      </c>
      <c r="E897">
        <f>C897&lt;0.05</f>
        <v/>
      </c>
      <c r="F897">
        <f>A897=$B$5</f>
        <v/>
      </c>
      <c r="G897">
        <f>IF(E897,A897,10^9)</f>
        <v/>
      </c>
      <c r="H897">
        <f>IF(E897,D897,10^9)</f>
        <v/>
      </c>
    </row>
    <row r="898">
      <c r="A898" t="n">
        <v>890</v>
      </c>
      <c r="B898" t="n">
        <v>0</v>
      </c>
      <c r="C898" t="n">
        <v>0</v>
      </c>
      <c r="D898" t="n">
        <v>1096.670986889335</v>
      </c>
      <c r="E898">
        <f>C898&lt;0.05</f>
        <v/>
      </c>
      <c r="F898">
        <f>A898=$B$5</f>
        <v/>
      </c>
      <c r="G898">
        <f>IF(E898,A898,10^9)</f>
        <v/>
      </c>
      <c r="H898">
        <f>IF(E898,D898,10^9)</f>
        <v/>
      </c>
    </row>
    <row r="899">
      <c r="A899" t="n">
        <v>891</v>
      </c>
      <c r="B899" t="n">
        <v>0</v>
      </c>
      <c r="C899" t="n">
        <v>0</v>
      </c>
      <c r="D899" t="n">
        <v>1097.670986889335</v>
      </c>
      <c r="E899">
        <f>C899&lt;0.05</f>
        <v/>
      </c>
      <c r="F899">
        <f>A899=$B$5</f>
        <v/>
      </c>
      <c r="G899">
        <f>IF(E899,A899,10^9)</f>
        <v/>
      </c>
      <c r="H899">
        <f>IF(E899,D899,10^9)</f>
        <v/>
      </c>
    </row>
    <row r="900">
      <c r="A900" t="n">
        <v>892</v>
      </c>
      <c r="B900" t="n">
        <v>0</v>
      </c>
      <c r="C900" t="n">
        <v>0</v>
      </c>
      <c r="D900" t="n">
        <v>1098.670986889335</v>
      </c>
      <c r="E900">
        <f>C900&lt;0.05</f>
        <v/>
      </c>
      <c r="F900">
        <f>A900=$B$5</f>
        <v/>
      </c>
      <c r="G900">
        <f>IF(E900,A900,10^9)</f>
        <v/>
      </c>
      <c r="H900">
        <f>IF(E900,D900,10^9)</f>
        <v/>
      </c>
    </row>
    <row r="901">
      <c r="A901" t="n">
        <v>893</v>
      </c>
      <c r="B901" t="n">
        <v>0</v>
      </c>
      <c r="C901" t="n">
        <v>0</v>
      </c>
      <c r="D901" t="n">
        <v>1099.670986889335</v>
      </c>
      <c r="E901">
        <f>C901&lt;0.05</f>
        <v/>
      </c>
      <c r="F901">
        <f>A901=$B$5</f>
        <v/>
      </c>
      <c r="G901">
        <f>IF(E901,A901,10^9)</f>
        <v/>
      </c>
      <c r="H901">
        <f>IF(E901,D901,10^9)</f>
        <v/>
      </c>
    </row>
    <row r="902">
      <c r="A902" t="n">
        <v>894</v>
      </c>
      <c r="B902" t="n">
        <v>0</v>
      </c>
      <c r="C902" t="n">
        <v>0</v>
      </c>
      <c r="D902" t="n">
        <v>1100.670986889335</v>
      </c>
      <c r="E902">
        <f>C902&lt;0.05</f>
        <v/>
      </c>
      <c r="F902">
        <f>A902=$B$5</f>
        <v/>
      </c>
      <c r="G902">
        <f>IF(E902,A902,10^9)</f>
        <v/>
      </c>
      <c r="H902">
        <f>IF(E902,D902,10^9)</f>
        <v/>
      </c>
    </row>
    <row r="903">
      <c r="A903" t="n">
        <v>895</v>
      </c>
      <c r="B903" t="n">
        <v>0</v>
      </c>
      <c r="C903" t="n">
        <v>0</v>
      </c>
      <c r="D903" t="n">
        <v>1101.670986889335</v>
      </c>
      <c r="E903">
        <f>C903&lt;0.05</f>
        <v/>
      </c>
      <c r="F903">
        <f>A903=$B$5</f>
        <v/>
      </c>
      <c r="G903">
        <f>IF(E903,A903,10^9)</f>
        <v/>
      </c>
      <c r="H903">
        <f>IF(E903,D903,10^9)</f>
        <v/>
      </c>
    </row>
    <row r="904">
      <c r="A904" t="n">
        <v>896</v>
      </c>
      <c r="B904" t="n">
        <v>0</v>
      </c>
      <c r="C904" t="n">
        <v>0</v>
      </c>
      <c r="D904" t="n">
        <v>1102.670986889335</v>
      </c>
      <c r="E904">
        <f>C904&lt;0.05</f>
        <v/>
      </c>
      <c r="F904">
        <f>A904=$B$5</f>
        <v/>
      </c>
      <c r="G904">
        <f>IF(E904,A904,10^9)</f>
        <v/>
      </c>
      <c r="H904">
        <f>IF(E904,D904,10^9)</f>
        <v/>
      </c>
    </row>
    <row r="905">
      <c r="A905" t="n">
        <v>897</v>
      </c>
      <c r="B905" t="n">
        <v>0</v>
      </c>
      <c r="C905" t="n">
        <v>0</v>
      </c>
      <c r="D905" t="n">
        <v>1103.670986889335</v>
      </c>
      <c r="E905">
        <f>C905&lt;0.05</f>
        <v/>
      </c>
      <c r="F905">
        <f>A905=$B$5</f>
        <v/>
      </c>
      <c r="G905">
        <f>IF(E905,A905,10^9)</f>
        <v/>
      </c>
      <c r="H905">
        <f>IF(E905,D905,10^9)</f>
        <v/>
      </c>
    </row>
    <row r="906">
      <c r="A906" t="n">
        <v>898</v>
      </c>
      <c r="B906" t="n">
        <v>0</v>
      </c>
      <c r="C906" t="n">
        <v>0</v>
      </c>
      <c r="D906" t="n">
        <v>1104.670986889335</v>
      </c>
      <c r="E906">
        <f>C906&lt;0.05</f>
        <v/>
      </c>
      <c r="F906">
        <f>A906=$B$5</f>
        <v/>
      </c>
      <c r="G906">
        <f>IF(E906,A906,10^9)</f>
        <v/>
      </c>
      <c r="H906">
        <f>IF(E906,D906,10^9)</f>
        <v/>
      </c>
    </row>
    <row r="907">
      <c r="A907" t="n">
        <v>899</v>
      </c>
      <c r="B907" t="n">
        <v>0</v>
      </c>
      <c r="C907" t="n">
        <v>0</v>
      </c>
      <c r="D907" t="n">
        <v>1105.670986889335</v>
      </c>
      <c r="E907">
        <f>C907&lt;0.05</f>
        <v/>
      </c>
      <c r="F907">
        <f>A907=$B$5</f>
        <v/>
      </c>
      <c r="G907">
        <f>IF(E907,A907,10^9)</f>
        <v/>
      </c>
      <c r="H907">
        <f>IF(E907,D907,10^9)</f>
        <v/>
      </c>
    </row>
    <row r="908">
      <c r="A908" t="n">
        <v>900</v>
      </c>
      <c r="B908" t="n">
        <v>0</v>
      </c>
      <c r="C908" t="n">
        <v>0</v>
      </c>
      <c r="D908" t="n">
        <v>1106.670986889335</v>
      </c>
      <c r="E908">
        <f>C908&lt;0.05</f>
        <v/>
      </c>
      <c r="F908">
        <f>A908=$B$5</f>
        <v/>
      </c>
      <c r="G908">
        <f>IF(E908,A908,10^9)</f>
        <v/>
      </c>
      <c r="H908">
        <f>IF(E908,D908,10^9)</f>
        <v/>
      </c>
    </row>
    <row r="909">
      <c r="A909" t="n">
        <v>901</v>
      </c>
      <c r="B909" t="n">
        <v>0</v>
      </c>
      <c r="C909" t="n">
        <v>0</v>
      </c>
      <c r="D909" t="n">
        <v>1107.670986889335</v>
      </c>
      <c r="E909">
        <f>C909&lt;0.05</f>
        <v/>
      </c>
      <c r="F909">
        <f>A909=$B$5</f>
        <v/>
      </c>
      <c r="G909">
        <f>IF(E909,A909,10^9)</f>
        <v/>
      </c>
      <c r="H909">
        <f>IF(E909,D909,10^9)</f>
        <v/>
      </c>
    </row>
    <row r="910">
      <c r="A910" t="n">
        <v>902</v>
      </c>
      <c r="B910" t="n">
        <v>0</v>
      </c>
      <c r="C910" t="n">
        <v>0</v>
      </c>
      <c r="D910" t="n">
        <v>1108.670986889335</v>
      </c>
      <c r="E910">
        <f>C910&lt;0.05</f>
        <v/>
      </c>
      <c r="F910">
        <f>A910=$B$5</f>
        <v/>
      </c>
      <c r="G910">
        <f>IF(E910,A910,10^9)</f>
        <v/>
      </c>
      <c r="H910">
        <f>IF(E910,D910,10^9)</f>
        <v/>
      </c>
    </row>
    <row r="911">
      <c r="A911" t="n">
        <v>903</v>
      </c>
      <c r="B911" t="n">
        <v>0</v>
      </c>
      <c r="C911" t="n">
        <v>0</v>
      </c>
      <c r="D911" t="n">
        <v>1109.670986889335</v>
      </c>
      <c r="E911">
        <f>C911&lt;0.05</f>
        <v/>
      </c>
      <c r="F911">
        <f>A911=$B$5</f>
        <v/>
      </c>
      <c r="G911">
        <f>IF(E911,A911,10^9)</f>
        <v/>
      </c>
      <c r="H911">
        <f>IF(E911,D911,10^9)</f>
        <v/>
      </c>
    </row>
    <row r="912">
      <c r="A912" t="n">
        <v>904</v>
      </c>
      <c r="B912" t="n">
        <v>0</v>
      </c>
      <c r="C912" t="n">
        <v>0</v>
      </c>
      <c r="D912" t="n">
        <v>1110.670986889335</v>
      </c>
      <c r="E912">
        <f>C912&lt;0.05</f>
        <v/>
      </c>
      <c r="F912">
        <f>A912=$B$5</f>
        <v/>
      </c>
      <c r="G912">
        <f>IF(E912,A912,10^9)</f>
        <v/>
      </c>
      <c r="H912">
        <f>IF(E912,D912,10^9)</f>
        <v/>
      </c>
    </row>
    <row r="913">
      <c r="A913" t="n">
        <v>905</v>
      </c>
      <c r="B913" t="n">
        <v>0</v>
      </c>
      <c r="C913" t="n">
        <v>0</v>
      </c>
      <c r="D913" t="n">
        <v>1111.670986889335</v>
      </c>
      <c r="E913">
        <f>C913&lt;0.05</f>
        <v/>
      </c>
      <c r="F913">
        <f>A913=$B$5</f>
        <v/>
      </c>
      <c r="G913">
        <f>IF(E913,A913,10^9)</f>
        <v/>
      </c>
      <c r="H913">
        <f>IF(E913,D913,10^9)</f>
        <v/>
      </c>
    </row>
    <row r="914">
      <c r="A914" t="n">
        <v>906</v>
      </c>
      <c r="B914" t="n">
        <v>0</v>
      </c>
      <c r="C914" t="n">
        <v>0</v>
      </c>
      <c r="D914" t="n">
        <v>1112.670986889335</v>
      </c>
      <c r="E914">
        <f>C914&lt;0.05</f>
        <v/>
      </c>
      <c r="F914">
        <f>A914=$B$5</f>
        <v/>
      </c>
      <c r="G914">
        <f>IF(E914,A914,10^9)</f>
        <v/>
      </c>
      <c r="H914">
        <f>IF(E914,D914,10^9)</f>
        <v/>
      </c>
    </row>
    <row r="915">
      <c r="A915" t="n">
        <v>907</v>
      </c>
      <c r="B915" t="n">
        <v>0</v>
      </c>
      <c r="C915" t="n">
        <v>0</v>
      </c>
      <c r="D915" t="n">
        <v>1113.670986889335</v>
      </c>
      <c r="E915">
        <f>C915&lt;0.05</f>
        <v/>
      </c>
      <c r="F915">
        <f>A915=$B$5</f>
        <v/>
      </c>
      <c r="G915">
        <f>IF(E915,A915,10^9)</f>
        <v/>
      </c>
      <c r="H915">
        <f>IF(E915,D915,10^9)</f>
        <v/>
      </c>
    </row>
    <row r="916">
      <c r="A916" t="n">
        <v>908</v>
      </c>
      <c r="B916" t="n">
        <v>0</v>
      </c>
      <c r="C916" t="n">
        <v>0</v>
      </c>
      <c r="D916" t="n">
        <v>1114.670986889335</v>
      </c>
      <c r="E916">
        <f>C916&lt;0.05</f>
        <v/>
      </c>
      <c r="F916">
        <f>A916=$B$5</f>
        <v/>
      </c>
      <c r="G916">
        <f>IF(E916,A916,10^9)</f>
        <v/>
      </c>
      <c r="H916">
        <f>IF(E916,D916,10^9)</f>
        <v/>
      </c>
    </row>
    <row r="917">
      <c r="A917" t="n">
        <v>909</v>
      </c>
      <c r="B917" t="n">
        <v>0</v>
      </c>
      <c r="C917" t="n">
        <v>0</v>
      </c>
      <c r="D917" t="n">
        <v>1115.670986889335</v>
      </c>
      <c r="E917">
        <f>C917&lt;0.05</f>
        <v/>
      </c>
      <c r="F917">
        <f>A917=$B$5</f>
        <v/>
      </c>
      <c r="G917">
        <f>IF(E917,A917,10^9)</f>
        <v/>
      </c>
      <c r="H917">
        <f>IF(E917,D917,10^9)</f>
        <v/>
      </c>
    </row>
    <row r="918">
      <c r="A918" t="n">
        <v>910</v>
      </c>
      <c r="B918" t="n">
        <v>0</v>
      </c>
      <c r="C918" t="n">
        <v>0</v>
      </c>
      <c r="D918" t="n">
        <v>1116.670986889335</v>
      </c>
      <c r="E918">
        <f>C918&lt;0.05</f>
        <v/>
      </c>
      <c r="F918">
        <f>A918=$B$5</f>
        <v/>
      </c>
      <c r="G918">
        <f>IF(E918,A918,10^9)</f>
        <v/>
      </c>
      <c r="H918">
        <f>IF(E918,D918,10^9)</f>
        <v/>
      </c>
    </row>
    <row r="919">
      <c r="A919" t="n">
        <v>911</v>
      </c>
      <c r="B919" t="n">
        <v>0</v>
      </c>
      <c r="C919" t="n">
        <v>0</v>
      </c>
      <c r="D919" t="n">
        <v>1117.670986889335</v>
      </c>
      <c r="E919">
        <f>C919&lt;0.05</f>
        <v/>
      </c>
      <c r="F919">
        <f>A919=$B$5</f>
        <v/>
      </c>
      <c r="G919">
        <f>IF(E919,A919,10^9)</f>
        <v/>
      </c>
      <c r="H919">
        <f>IF(E919,D919,10^9)</f>
        <v/>
      </c>
    </row>
    <row r="920">
      <c r="A920" t="n">
        <v>912</v>
      </c>
      <c r="B920" t="n">
        <v>0</v>
      </c>
      <c r="C920" t="n">
        <v>0</v>
      </c>
      <c r="D920" t="n">
        <v>1118.670986889335</v>
      </c>
      <c r="E920">
        <f>C920&lt;0.05</f>
        <v/>
      </c>
      <c r="F920">
        <f>A920=$B$5</f>
        <v/>
      </c>
      <c r="G920">
        <f>IF(E920,A920,10^9)</f>
        <v/>
      </c>
      <c r="H920">
        <f>IF(E920,D920,10^9)</f>
        <v/>
      </c>
    </row>
    <row r="921">
      <c r="A921" t="n">
        <v>913</v>
      </c>
      <c r="B921" t="n">
        <v>0</v>
      </c>
      <c r="C921" t="n">
        <v>0</v>
      </c>
      <c r="D921" t="n">
        <v>1119.670986889335</v>
      </c>
      <c r="E921">
        <f>C921&lt;0.05</f>
        <v/>
      </c>
      <c r="F921">
        <f>A921=$B$5</f>
        <v/>
      </c>
      <c r="G921">
        <f>IF(E921,A921,10^9)</f>
        <v/>
      </c>
      <c r="H921">
        <f>IF(E921,D921,10^9)</f>
        <v/>
      </c>
    </row>
    <row r="922">
      <c r="A922" t="n">
        <v>914</v>
      </c>
      <c r="B922" t="n">
        <v>0</v>
      </c>
      <c r="C922" t="n">
        <v>0</v>
      </c>
      <c r="D922" t="n">
        <v>1120.670986889335</v>
      </c>
      <c r="E922">
        <f>C922&lt;0.05</f>
        <v/>
      </c>
      <c r="F922">
        <f>A922=$B$5</f>
        <v/>
      </c>
      <c r="G922">
        <f>IF(E922,A922,10^9)</f>
        <v/>
      </c>
      <c r="H922">
        <f>IF(E922,D922,10^9)</f>
        <v/>
      </c>
    </row>
    <row r="923">
      <c r="A923" t="n">
        <v>915</v>
      </c>
      <c r="B923" t="n">
        <v>0</v>
      </c>
      <c r="C923" t="n">
        <v>0</v>
      </c>
      <c r="D923" t="n">
        <v>1121.670986889335</v>
      </c>
      <c r="E923">
        <f>C923&lt;0.05</f>
        <v/>
      </c>
      <c r="F923">
        <f>A923=$B$5</f>
        <v/>
      </c>
      <c r="G923">
        <f>IF(E923,A923,10^9)</f>
        <v/>
      </c>
      <c r="H923">
        <f>IF(E923,D923,10^9)</f>
        <v/>
      </c>
    </row>
    <row r="924">
      <c r="A924" t="n">
        <v>916</v>
      </c>
      <c r="B924" t="n">
        <v>0</v>
      </c>
      <c r="C924" t="n">
        <v>0</v>
      </c>
      <c r="D924" t="n">
        <v>1122.670986889335</v>
      </c>
      <c r="E924">
        <f>C924&lt;0.05</f>
        <v/>
      </c>
      <c r="F924">
        <f>A924=$B$5</f>
        <v/>
      </c>
      <c r="G924">
        <f>IF(E924,A924,10^9)</f>
        <v/>
      </c>
      <c r="H924">
        <f>IF(E924,D924,10^9)</f>
        <v/>
      </c>
    </row>
    <row r="925">
      <c r="A925" t="n">
        <v>917</v>
      </c>
      <c r="B925" t="n">
        <v>0</v>
      </c>
      <c r="C925" t="n">
        <v>0</v>
      </c>
      <c r="D925" t="n">
        <v>1123.670986889335</v>
      </c>
      <c r="E925">
        <f>C925&lt;0.05</f>
        <v/>
      </c>
      <c r="F925">
        <f>A925=$B$5</f>
        <v/>
      </c>
      <c r="G925">
        <f>IF(E925,A925,10^9)</f>
        <v/>
      </c>
      <c r="H925">
        <f>IF(E925,D925,10^9)</f>
        <v/>
      </c>
    </row>
    <row r="926">
      <c r="A926" t="n">
        <v>918</v>
      </c>
      <c r="B926" t="n">
        <v>0</v>
      </c>
      <c r="C926" t="n">
        <v>0</v>
      </c>
      <c r="D926" t="n">
        <v>1124.670986889335</v>
      </c>
      <c r="E926">
        <f>C926&lt;0.05</f>
        <v/>
      </c>
      <c r="F926">
        <f>A926=$B$5</f>
        <v/>
      </c>
      <c r="G926">
        <f>IF(E926,A926,10^9)</f>
        <v/>
      </c>
      <c r="H926">
        <f>IF(E926,D926,10^9)</f>
        <v/>
      </c>
    </row>
    <row r="927">
      <c r="A927" t="n">
        <v>919</v>
      </c>
      <c r="B927" t="n">
        <v>0</v>
      </c>
      <c r="C927" t="n">
        <v>0</v>
      </c>
      <c r="D927" t="n">
        <v>1125.670986889335</v>
      </c>
      <c r="E927">
        <f>C927&lt;0.05</f>
        <v/>
      </c>
      <c r="F927">
        <f>A927=$B$5</f>
        <v/>
      </c>
      <c r="G927">
        <f>IF(E927,A927,10^9)</f>
        <v/>
      </c>
      <c r="H927">
        <f>IF(E927,D927,10^9)</f>
        <v/>
      </c>
    </row>
    <row r="928">
      <c r="A928" t="n">
        <v>920</v>
      </c>
      <c r="B928" t="n">
        <v>0</v>
      </c>
      <c r="C928" t="n">
        <v>0</v>
      </c>
      <c r="D928" t="n">
        <v>1126.670986889335</v>
      </c>
      <c r="E928">
        <f>C928&lt;0.05</f>
        <v/>
      </c>
      <c r="F928">
        <f>A928=$B$5</f>
        <v/>
      </c>
      <c r="G928">
        <f>IF(E928,A928,10^9)</f>
        <v/>
      </c>
      <c r="H928">
        <f>IF(E928,D928,10^9)</f>
        <v/>
      </c>
    </row>
    <row r="929">
      <c r="A929" t="n">
        <v>921</v>
      </c>
      <c r="B929" t="n">
        <v>0</v>
      </c>
      <c r="C929" t="n">
        <v>0</v>
      </c>
      <c r="D929" t="n">
        <v>1127.670986889335</v>
      </c>
      <c r="E929">
        <f>C929&lt;0.05</f>
        <v/>
      </c>
      <c r="F929">
        <f>A929=$B$5</f>
        <v/>
      </c>
      <c r="G929">
        <f>IF(E929,A929,10^9)</f>
        <v/>
      </c>
      <c r="H929">
        <f>IF(E929,D929,10^9)</f>
        <v/>
      </c>
    </row>
    <row r="930">
      <c r="A930" t="n">
        <v>922</v>
      </c>
      <c r="B930" t="n">
        <v>0</v>
      </c>
      <c r="C930" t="n">
        <v>0</v>
      </c>
      <c r="D930" t="n">
        <v>1128.670986889335</v>
      </c>
      <c r="E930">
        <f>C930&lt;0.05</f>
        <v/>
      </c>
      <c r="F930">
        <f>A930=$B$5</f>
        <v/>
      </c>
      <c r="G930">
        <f>IF(E930,A930,10^9)</f>
        <v/>
      </c>
      <c r="H930">
        <f>IF(E930,D930,10^9)</f>
        <v/>
      </c>
    </row>
    <row r="931">
      <c r="A931" t="n">
        <v>923</v>
      </c>
      <c r="B931" t="n">
        <v>0</v>
      </c>
      <c r="C931" t="n">
        <v>0</v>
      </c>
      <c r="D931" t="n">
        <v>1129.670986889335</v>
      </c>
      <c r="E931">
        <f>C931&lt;0.05</f>
        <v/>
      </c>
      <c r="F931">
        <f>A931=$B$5</f>
        <v/>
      </c>
      <c r="G931">
        <f>IF(E931,A931,10^9)</f>
        <v/>
      </c>
      <c r="H931">
        <f>IF(E931,D931,10^9)</f>
        <v/>
      </c>
    </row>
    <row r="932">
      <c r="A932" t="n">
        <v>924</v>
      </c>
      <c r="B932" t="n">
        <v>0</v>
      </c>
      <c r="C932" t="n">
        <v>0</v>
      </c>
      <c r="D932" t="n">
        <v>1130.670986889335</v>
      </c>
      <c r="E932">
        <f>C932&lt;0.05</f>
        <v/>
      </c>
      <c r="F932">
        <f>A932=$B$5</f>
        <v/>
      </c>
      <c r="G932">
        <f>IF(E932,A932,10^9)</f>
        <v/>
      </c>
      <c r="H932">
        <f>IF(E932,D932,10^9)</f>
        <v/>
      </c>
    </row>
    <row r="933">
      <c r="A933" t="n">
        <v>925</v>
      </c>
      <c r="B933" t="n">
        <v>0</v>
      </c>
      <c r="C933" t="n">
        <v>0</v>
      </c>
      <c r="D933" t="n">
        <v>1131.670986889335</v>
      </c>
      <c r="E933">
        <f>C933&lt;0.05</f>
        <v/>
      </c>
      <c r="F933">
        <f>A933=$B$5</f>
        <v/>
      </c>
      <c r="G933">
        <f>IF(E933,A933,10^9)</f>
        <v/>
      </c>
      <c r="H933">
        <f>IF(E933,D933,10^9)</f>
        <v/>
      </c>
    </row>
    <row r="934">
      <c r="A934" t="n">
        <v>926</v>
      </c>
      <c r="B934" t="n">
        <v>0</v>
      </c>
      <c r="C934" t="n">
        <v>0</v>
      </c>
      <c r="D934" t="n">
        <v>1132.670986889335</v>
      </c>
      <c r="E934">
        <f>C934&lt;0.05</f>
        <v/>
      </c>
      <c r="F934">
        <f>A934=$B$5</f>
        <v/>
      </c>
      <c r="G934">
        <f>IF(E934,A934,10^9)</f>
        <v/>
      </c>
      <c r="H934">
        <f>IF(E934,D934,10^9)</f>
        <v/>
      </c>
    </row>
    <row r="935">
      <c r="A935" t="n">
        <v>927</v>
      </c>
      <c r="B935" t="n">
        <v>0</v>
      </c>
      <c r="C935" t="n">
        <v>0</v>
      </c>
      <c r="D935" t="n">
        <v>1133.670986889335</v>
      </c>
      <c r="E935">
        <f>C935&lt;0.05</f>
        <v/>
      </c>
      <c r="F935">
        <f>A935=$B$5</f>
        <v/>
      </c>
      <c r="G935">
        <f>IF(E935,A935,10^9)</f>
        <v/>
      </c>
      <c r="H935">
        <f>IF(E935,D935,10^9)</f>
        <v/>
      </c>
    </row>
    <row r="936">
      <c r="A936" t="n">
        <v>928</v>
      </c>
      <c r="B936" t="n">
        <v>0</v>
      </c>
      <c r="C936" t="n">
        <v>0</v>
      </c>
      <c r="D936" t="n">
        <v>1134.670986889335</v>
      </c>
      <c r="E936">
        <f>C936&lt;0.05</f>
        <v/>
      </c>
      <c r="F936">
        <f>A936=$B$5</f>
        <v/>
      </c>
      <c r="G936">
        <f>IF(E936,A936,10^9)</f>
        <v/>
      </c>
      <c r="H936">
        <f>IF(E936,D936,10^9)</f>
        <v/>
      </c>
    </row>
    <row r="937">
      <c r="A937" t="n">
        <v>929</v>
      </c>
      <c r="B937" t="n">
        <v>0</v>
      </c>
      <c r="C937" t="n">
        <v>0</v>
      </c>
      <c r="D937" t="n">
        <v>1135.670986889335</v>
      </c>
      <c r="E937">
        <f>C937&lt;0.05</f>
        <v/>
      </c>
      <c r="F937">
        <f>A937=$B$5</f>
        <v/>
      </c>
      <c r="G937">
        <f>IF(E937,A937,10^9)</f>
        <v/>
      </c>
      <c r="H937">
        <f>IF(E937,D937,10^9)</f>
        <v/>
      </c>
    </row>
    <row r="938">
      <c r="A938" t="n">
        <v>930</v>
      </c>
      <c r="B938" t="n">
        <v>0</v>
      </c>
      <c r="C938" t="n">
        <v>0</v>
      </c>
      <c r="D938" t="n">
        <v>1136.670986889335</v>
      </c>
      <c r="E938">
        <f>C938&lt;0.05</f>
        <v/>
      </c>
      <c r="F938">
        <f>A938=$B$5</f>
        <v/>
      </c>
      <c r="G938">
        <f>IF(E938,A938,10^9)</f>
        <v/>
      </c>
      <c r="H938">
        <f>IF(E938,D938,10^9)</f>
        <v/>
      </c>
    </row>
    <row r="939">
      <c r="A939" t="n">
        <v>931</v>
      </c>
      <c r="B939" t="n">
        <v>0</v>
      </c>
      <c r="C939" t="n">
        <v>0</v>
      </c>
      <c r="D939" t="n">
        <v>1137.670986889335</v>
      </c>
      <c r="E939">
        <f>C939&lt;0.05</f>
        <v/>
      </c>
      <c r="F939">
        <f>A939=$B$5</f>
        <v/>
      </c>
      <c r="G939">
        <f>IF(E939,A939,10^9)</f>
        <v/>
      </c>
      <c r="H939">
        <f>IF(E939,D939,10^9)</f>
        <v/>
      </c>
    </row>
    <row r="940">
      <c r="A940" t="n">
        <v>932</v>
      </c>
      <c r="B940" t="n">
        <v>0</v>
      </c>
      <c r="C940" t="n">
        <v>0</v>
      </c>
      <c r="D940" t="n">
        <v>1138.670986889335</v>
      </c>
      <c r="E940">
        <f>C940&lt;0.05</f>
        <v/>
      </c>
      <c r="F940">
        <f>A940=$B$5</f>
        <v/>
      </c>
      <c r="G940">
        <f>IF(E940,A940,10^9)</f>
        <v/>
      </c>
      <c r="H940">
        <f>IF(E940,D940,10^9)</f>
        <v/>
      </c>
    </row>
    <row r="941">
      <c r="A941" t="n">
        <v>933</v>
      </c>
      <c r="B941" t="n">
        <v>0</v>
      </c>
      <c r="C941" t="n">
        <v>0</v>
      </c>
      <c r="D941" t="n">
        <v>1139.670986889335</v>
      </c>
      <c r="E941">
        <f>C941&lt;0.05</f>
        <v/>
      </c>
      <c r="F941">
        <f>A941=$B$5</f>
        <v/>
      </c>
      <c r="G941">
        <f>IF(E941,A941,10^9)</f>
        <v/>
      </c>
      <c r="H941">
        <f>IF(E941,D941,10^9)</f>
        <v/>
      </c>
    </row>
    <row r="942">
      <c r="A942" t="n">
        <v>934</v>
      </c>
      <c r="B942" t="n">
        <v>0</v>
      </c>
      <c r="C942" t="n">
        <v>0</v>
      </c>
      <c r="D942" t="n">
        <v>1140.670986889335</v>
      </c>
      <c r="E942">
        <f>C942&lt;0.05</f>
        <v/>
      </c>
      <c r="F942">
        <f>A942=$B$5</f>
        <v/>
      </c>
      <c r="G942">
        <f>IF(E942,A942,10^9)</f>
        <v/>
      </c>
      <c r="H942">
        <f>IF(E942,D942,10^9)</f>
        <v/>
      </c>
    </row>
    <row r="943">
      <c r="A943" t="n">
        <v>935</v>
      </c>
      <c r="B943" t="n">
        <v>0</v>
      </c>
      <c r="C943" t="n">
        <v>0</v>
      </c>
      <c r="D943" t="n">
        <v>1141.670986889335</v>
      </c>
      <c r="E943">
        <f>C943&lt;0.05</f>
        <v/>
      </c>
      <c r="F943">
        <f>A943=$B$5</f>
        <v/>
      </c>
      <c r="G943">
        <f>IF(E943,A943,10^9)</f>
        <v/>
      </c>
      <c r="H943">
        <f>IF(E943,D943,10^9)</f>
        <v/>
      </c>
    </row>
    <row r="944">
      <c r="A944" t="n">
        <v>936</v>
      </c>
      <c r="B944" t="n">
        <v>0</v>
      </c>
      <c r="C944" t="n">
        <v>0</v>
      </c>
      <c r="D944" t="n">
        <v>1142.670986889335</v>
      </c>
      <c r="E944">
        <f>C944&lt;0.05</f>
        <v/>
      </c>
      <c r="F944">
        <f>A944=$B$5</f>
        <v/>
      </c>
      <c r="G944">
        <f>IF(E944,A944,10^9)</f>
        <v/>
      </c>
      <c r="H944">
        <f>IF(E944,D944,10^9)</f>
        <v/>
      </c>
    </row>
    <row r="945">
      <c r="A945" t="n">
        <v>937</v>
      </c>
      <c r="B945" t="n">
        <v>0</v>
      </c>
      <c r="C945" t="n">
        <v>0</v>
      </c>
      <c r="D945" t="n">
        <v>1143.670986889335</v>
      </c>
      <c r="E945">
        <f>C945&lt;0.05</f>
        <v/>
      </c>
      <c r="F945">
        <f>A945=$B$5</f>
        <v/>
      </c>
      <c r="G945">
        <f>IF(E945,A945,10^9)</f>
        <v/>
      </c>
      <c r="H945">
        <f>IF(E945,D945,10^9)</f>
        <v/>
      </c>
    </row>
    <row r="946">
      <c r="A946" t="n">
        <v>938</v>
      </c>
      <c r="B946" t="n">
        <v>0</v>
      </c>
      <c r="C946" t="n">
        <v>0</v>
      </c>
      <c r="D946" t="n">
        <v>1144.670986889335</v>
      </c>
      <c r="E946">
        <f>C946&lt;0.05</f>
        <v/>
      </c>
      <c r="F946">
        <f>A946=$B$5</f>
        <v/>
      </c>
      <c r="G946">
        <f>IF(E946,A946,10^9)</f>
        <v/>
      </c>
      <c r="H946">
        <f>IF(E946,D946,10^9)</f>
        <v/>
      </c>
    </row>
    <row r="947">
      <c r="A947" t="n">
        <v>939</v>
      </c>
      <c r="B947" t="n">
        <v>0</v>
      </c>
      <c r="C947" t="n">
        <v>0</v>
      </c>
      <c r="D947" t="n">
        <v>1145.670986889335</v>
      </c>
      <c r="E947">
        <f>C947&lt;0.05</f>
        <v/>
      </c>
      <c r="F947">
        <f>A947=$B$5</f>
        <v/>
      </c>
      <c r="G947">
        <f>IF(E947,A947,10^9)</f>
        <v/>
      </c>
      <c r="H947">
        <f>IF(E947,D947,10^9)</f>
        <v/>
      </c>
    </row>
    <row r="948">
      <c r="A948" t="n">
        <v>940</v>
      </c>
      <c r="B948" t="n">
        <v>0</v>
      </c>
      <c r="C948" t="n">
        <v>0</v>
      </c>
      <c r="D948" t="n">
        <v>1146.670986889335</v>
      </c>
      <c r="E948">
        <f>C948&lt;0.05</f>
        <v/>
      </c>
      <c r="F948">
        <f>A948=$B$5</f>
        <v/>
      </c>
      <c r="G948">
        <f>IF(E948,A948,10^9)</f>
        <v/>
      </c>
      <c r="H948">
        <f>IF(E948,D948,10^9)</f>
        <v/>
      </c>
    </row>
    <row r="949">
      <c r="A949" t="n">
        <v>941</v>
      </c>
      <c r="B949" t="n">
        <v>0</v>
      </c>
      <c r="C949" t="n">
        <v>0</v>
      </c>
      <c r="D949" t="n">
        <v>1147.670986889335</v>
      </c>
      <c r="E949">
        <f>C949&lt;0.05</f>
        <v/>
      </c>
      <c r="F949">
        <f>A949=$B$5</f>
        <v/>
      </c>
      <c r="G949">
        <f>IF(E949,A949,10^9)</f>
        <v/>
      </c>
      <c r="H949">
        <f>IF(E949,D949,10^9)</f>
        <v/>
      </c>
    </row>
    <row r="950">
      <c r="A950" t="n">
        <v>942</v>
      </c>
      <c r="B950" t="n">
        <v>0</v>
      </c>
      <c r="C950" t="n">
        <v>0</v>
      </c>
      <c r="D950" t="n">
        <v>1148.670986889335</v>
      </c>
      <c r="E950">
        <f>C950&lt;0.05</f>
        <v/>
      </c>
      <c r="F950">
        <f>A950=$B$5</f>
        <v/>
      </c>
      <c r="G950">
        <f>IF(E950,A950,10^9)</f>
        <v/>
      </c>
      <c r="H950">
        <f>IF(E950,D950,10^9)</f>
        <v/>
      </c>
    </row>
    <row r="951">
      <c r="A951" t="n">
        <v>943</v>
      </c>
      <c r="B951" t="n">
        <v>0</v>
      </c>
      <c r="C951" t="n">
        <v>0</v>
      </c>
      <c r="D951" t="n">
        <v>1149.670986889335</v>
      </c>
      <c r="E951">
        <f>C951&lt;0.05</f>
        <v/>
      </c>
      <c r="F951">
        <f>A951=$B$5</f>
        <v/>
      </c>
      <c r="G951">
        <f>IF(E951,A951,10^9)</f>
        <v/>
      </c>
      <c r="H951">
        <f>IF(E951,D951,10^9)</f>
        <v/>
      </c>
    </row>
    <row r="952">
      <c r="A952" t="n">
        <v>944</v>
      </c>
      <c r="B952" t="n">
        <v>0</v>
      </c>
      <c r="C952" t="n">
        <v>0</v>
      </c>
      <c r="D952" t="n">
        <v>1150.670986889335</v>
      </c>
      <c r="E952">
        <f>C952&lt;0.05</f>
        <v/>
      </c>
      <c r="F952">
        <f>A952=$B$5</f>
        <v/>
      </c>
      <c r="G952">
        <f>IF(E952,A952,10^9)</f>
        <v/>
      </c>
      <c r="H952">
        <f>IF(E952,D952,10^9)</f>
        <v/>
      </c>
    </row>
    <row r="953">
      <c r="A953" t="n">
        <v>945</v>
      </c>
      <c r="B953" t="n">
        <v>0</v>
      </c>
      <c r="C953" t="n">
        <v>0</v>
      </c>
      <c r="D953" t="n">
        <v>1151.670986889335</v>
      </c>
      <c r="E953">
        <f>C953&lt;0.05</f>
        <v/>
      </c>
      <c r="F953">
        <f>A953=$B$5</f>
        <v/>
      </c>
      <c r="G953">
        <f>IF(E953,A953,10^9)</f>
        <v/>
      </c>
      <c r="H953">
        <f>IF(E953,D953,10^9)</f>
        <v/>
      </c>
    </row>
    <row r="954">
      <c r="A954" t="n">
        <v>946</v>
      </c>
      <c r="B954" t="n">
        <v>0</v>
      </c>
      <c r="C954" t="n">
        <v>0</v>
      </c>
      <c r="D954" t="n">
        <v>1152.670986889335</v>
      </c>
      <c r="E954">
        <f>C954&lt;0.05</f>
        <v/>
      </c>
      <c r="F954">
        <f>A954=$B$5</f>
        <v/>
      </c>
      <c r="G954">
        <f>IF(E954,A954,10^9)</f>
        <v/>
      </c>
      <c r="H954">
        <f>IF(E954,D954,10^9)</f>
        <v/>
      </c>
    </row>
    <row r="955">
      <c r="A955" t="n">
        <v>947</v>
      </c>
      <c r="B955" t="n">
        <v>0</v>
      </c>
      <c r="C955" t="n">
        <v>0</v>
      </c>
      <c r="D955" t="n">
        <v>1153.670986889335</v>
      </c>
      <c r="E955">
        <f>C955&lt;0.05</f>
        <v/>
      </c>
      <c r="F955">
        <f>A955=$B$5</f>
        <v/>
      </c>
      <c r="G955">
        <f>IF(E955,A955,10^9)</f>
        <v/>
      </c>
      <c r="H955">
        <f>IF(E955,D955,10^9)</f>
        <v/>
      </c>
    </row>
    <row r="956">
      <c r="A956" t="n">
        <v>948</v>
      </c>
      <c r="B956" t="n">
        <v>0</v>
      </c>
      <c r="C956" t="n">
        <v>0</v>
      </c>
      <c r="D956" t="n">
        <v>1154.670986889335</v>
      </c>
      <c r="E956">
        <f>C956&lt;0.05</f>
        <v/>
      </c>
      <c r="F956">
        <f>A956=$B$5</f>
        <v/>
      </c>
      <c r="G956">
        <f>IF(E956,A956,10^9)</f>
        <v/>
      </c>
      <c r="H956">
        <f>IF(E956,D956,10^9)</f>
        <v/>
      </c>
    </row>
    <row r="957">
      <c r="A957" t="n">
        <v>949</v>
      </c>
      <c r="B957" t="n">
        <v>0</v>
      </c>
      <c r="C957" t="n">
        <v>0</v>
      </c>
      <c r="D957" t="n">
        <v>1155.670986889335</v>
      </c>
      <c r="E957">
        <f>C957&lt;0.05</f>
        <v/>
      </c>
      <c r="F957">
        <f>A957=$B$5</f>
        <v/>
      </c>
      <c r="G957">
        <f>IF(E957,A957,10^9)</f>
        <v/>
      </c>
      <c r="H957">
        <f>IF(E957,D957,10^9)</f>
        <v/>
      </c>
    </row>
    <row r="958">
      <c r="A958" t="n">
        <v>950</v>
      </c>
      <c r="B958" t="n">
        <v>0</v>
      </c>
      <c r="C958" t="n">
        <v>0</v>
      </c>
      <c r="D958" t="n">
        <v>1156.670986889335</v>
      </c>
      <c r="E958">
        <f>C958&lt;0.05</f>
        <v/>
      </c>
      <c r="F958">
        <f>A958=$B$5</f>
        <v/>
      </c>
      <c r="G958">
        <f>IF(E958,A958,10^9)</f>
        <v/>
      </c>
      <c r="H958">
        <f>IF(E958,D958,10^9)</f>
        <v/>
      </c>
    </row>
    <row r="959">
      <c r="A959" t="n">
        <v>951</v>
      </c>
      <c r="B959" t="n">
        <v>0</v>
      </c>
      <c r="C959" t="n">
        <v>0</v>
      </c>
      <c r="D959" t="n">
        <v>1157.670986889335</v>
      </c>
      <c r="E959">
        <f>C959&lt;0.05</f>
        <v/>
      </c>
      <c r="F959">
        <f>A959=$B$5</f>
        <v/>
      </c>
      <c r="G959">
        <f>IF(E959,A959,10^9)</f>
        <v/>
      </c>
      <c r="H959">
        <f>IF(E959,D959,10^9)</f>
        <v/>
      </c>
    </row>
    <row r="960">
      <c r="A960" t="n">
        <v>952</v>
      </c>
      <c r="B960" t="n">
        <v>0</v>
      </c>
      <c r="C960" t="n">
        <v>0</v>
      </c>
      <c r="D960" t="n">
        <v>1158.670986889335</v>
      </c>
      <c r="E960">
        <f>C960&lt;0.05</f>
        <v/>
      </c>
      <c r="F960">
        <f>A960=$B$5</f>
        <v/>
      </c>
      <c r="G960">
        <f>IF(E960,A960,10^9)</f>
        <v/>
      </c>
      <c r="H960">
        <f>IF(E960,D960,10^9)</f>
        <v/>
      </c>
    </row>
    <row r="961">
      <c r="A961" t="n">
        <v>953</v>
      </c>
      <c r="B961" t="n">
        <v>0</v>
      </c>
      <c r="C961" t="n">
        <v>0</v>
      </c>
      <c r="D961" t="n">
        <v>1159.670986889335</v>
      </c>
      <c r="E961">
        <f>C961&lt;0.05</f>
        <v/>
      </c>
      <c r="F961">
        <f>A961=$B$5</f>
        <v/>
      </c>
      <c r="G961">
        <f>IF(E961,A961,10^9)</f>
        <v/>
      </c>
      <c r="H961">
        <f>IF(E961,D961,10^9)</f>
        <v/>
      </c>
    </row>
    <row r="962">
      <c r="A962" t="n">
        <v>954</v>
      </c>
      <c r="B962" t="n">
        <v>0</v>
      </c>
      <c r="C962" t="n">
        <v>0</v>
      </c>
      <c r="D962" t="n">
        <v>1160.670986889335</v>
      </c>
      <c r="E962">
        <f>C962&lt;0.05</f>
        <v/>
      </c>
      <c r="F962">
        <f>A962=$B$5</f>
        <v/>
      </c>
      <c r="G962">
        <f>IF(E962,A962,10^9)</f>
        <v/>
      </c>
      <c r="H962">
        <f>IF(E962,D962,10^9)</f>
        <v/>
      </c>
    </row>
    <row r="963">
      <c r="A963" t="n">
        <v>955</v>
      </c>
      <c r="B963" t="n">
        <v>0</v>
      </c>
      <c r="C963" t="n">
        <v>0</v>
      </c>
      <c r="D963" t="n">
        <v>1161.670986889335</v>
      </c>
      <c r="E963">
        <f>C963&lt;0.05</f>
        <v/>
      </c>
      <c r="F963">
        <f>A963=$B$5</f>
        <v/>
      </c>
      <c r="G963">
        <f>IF(E963,A963,10^9)</f>
        <v/>
      </c>
      <c r="H963">
        <f>IF(E963,D963,10^9)</f>
        <v/>
      </c>
    </row>
    <row r="964">
      <c r="A964" t="n">
        <v>956</v>
      </c>
      <c r="B964" t="n">
        <v>0</v>
      </c>
      <c r="C964" t="n">
        <v>0</v>
      </c>
      <c r="D964" t="n">
        <v>1162.670986889335</v>
      </c>
      <c r="E964">
        <f>C964&lt;0.05</f>
        <v/>
      </c>
      <c r="F964">
        <f>A964=$B$5</f>
        <v/>
      </c>
      <c r="G964">
        <f>IF(E964,A964,10^9)</f>
        <v/>
      </c>
      <c r="H964">
        <f>IF(E964,D964,10^9)</f>
        <v/>
      </c>
    </row>
    <row r="965">
      <c r="A965" t="n">
        <v>957</v>
      </c>
      <c r="B965" t="n">
        <v>0</v>
      </c>
      <c r="C965" t="n">
        <v>0</v>
      </c>
      <c r="D965" t="n">
        <v>1163.670986889335</v>
      </c>
      <c r="E965">
        <f>C965&lt;0.05</f>
        <v/>
      </c>
      <c r="F965">
        <f>A965=$B$5</f>
        <v/>
      </c>
      <c r="G965">
        <f>IF(E965,A965,10^9)</f>
        <v/>
      </c>
      <c r="H965">
        <f>IF(E965,D965,10^9)</f>
        <v/>
      </c>
    </row>
    <row r="966">
      <c r="A966" t="n">
        <v>958</v>
      </c>
      <c r="B966" t="n">
        <v>0</v>
      </c>
      <c r="C966" t="n">
        <v>0</v>
      </c>
      <c r="D966" t="n">
        <v>1164.670986889335</v>
      </c>
      <c r="E966">
        <f>C966&lt;0.05</f>
        <v/>
      </c>
      <c r="F966">
        <f>A966=$B$5</f>
        <v/>
      </c>
      <c r="G966">
        <f>IF(E966,A966,10^9)</f>
        <v/>
      </c>
      <c r="H966">
        <f>IF(E966,D966,10^9)</f>
        <v/>
      </c>
    </row>
    <row r="967">
      <c r="A967" t="n">
        <v>959</v>
      </c>
      <c r="B967" t="n">
        <v>0</v>
      </c>
      <c r="C967" t="n">
        <v>0</v>
      </c>
      <c r="D967" t="n">
        <v>1165.670986889335</v>
      </c>
      <c r="E967">
        <f>C967&lt;0.05</f>
        <v/>
      </c>
      <c r="F967">
        <f>A967=$B$5</f>
        <v/>
      </c>
      <c r="G967">
        <f>IF(E967,A967,10^9)</f>
        <v/>
      </c>
      <c r="H967">
        <f>IF(E967,D967,10^9)</f>
        <v/>
      </c>
    </row>
    <row r="968">
      <c r="A968" t="n">
        <v>960</v>
      </c>
      <c r="B968" t="n">
        <v>0</v>
      </c>
      <c r="C968" t="n">
        <v>0</v>
      </c>
      <c r="D968" t="n">
        <v>1166.670986889335</v>
      </c>
      <c r="E968">
        <f>C968&lt;0.05</f>
        <v/>
      </c>
      <c r="F968">
        <f>A968=$B$5</f>
        <v/>
      </c>
      <c r="G968">
        <f>IF(E968,A968,10^9)</f>
        <v/>
      </c>
      <c r="H968">
        <f>IF(E968,D968,10^9)</f>
        <v/>
      </c>
    </row>
    <row r="969">
      <c r="A969" t="n">
        <v>961</v>
      </c>
      <c r="B969" t="n">
        <v>0</v>
      </c>
      <c r="C969" t="n">
        <v>0</v>
      </c>
      <c r="D969" t="n">
        <v>1167.670986889335</v>
      </c>
      <c r="E969">
        <f>C969&lt;0.05</f>
        <v/>
      </c>
      <c r="F969">
        <f>A969=$B$5</f>
        <v/>
      </c>
      <c r="G969">
        <f>IF(E969,A969,10^9)</f>
        <v/>
      </c>
      <c r="H969">
        <f>IF(E969,D969,10^9)</f>
        <v/>
      </c>
    </row>
    <row r="970">
      <c r="A970" t="n">
        <v>962</v>
      </c>
      <c r="B970" t="n">
        <v>0</v>
      </c>
      <c r="C970" t="n">
        <v>0</v>
      </c>
      <c r="D970" t="n">
        <v>1168.670986889335</v>
      </c>
      <c r="E970">
        <f>C970&lt;0.05</f>
        <v/>
      </c>
      <c r="F970">
        <f>A970=$B$5</f>
        <v/>
      </c>
      <c r="G970">
        <f>IF(E970,A970,10^9)</f>
        <v/>
      </c>
      <c r="H970">
        <f>IF(E970,D970,10^9)</f>
        <v/>
      </c>
    </row>
    <row r="971">
      <c r="A971" t="n">
        <v>963</v>
      </c>
      <c r="B971" t="n">
        <v>0</v>
      </c>
      <c r="C971" t="n">
        <v>0</v>
      </c>
      <c r="D971" t="n">
        <v>1169.670986889335</v>
      </c>
      <c r="E971">
        <f>C971&lt;0.05</f>
        <v/>
      </c>
      <c r="F971">
        <f>A971=$B$5</f>
        <v/>
      </c>
      <c r="G971">
        <f>IF(E971,A971,10^9)</f>
        <v/>
      </c>
      <c r="H971">
        <f>IF(E971,D971,10^9)</f>
        <v/>
      </c>
    </row>
    <row r="972">
      <c r="A972" t="n">
        <v>964</v>
      </c>
      <c r="B972" t="n">
        <v>0</v>
      </c>
      <c r="C972" t="n">
        <v>0</v>
      </c>
      <c r="D972" t="n">
        <v>1170.670986889335</v>
      </c>
      <c r="E972">
        <f>C972&lt;0.05</f>
        <v/>
      </c>
      <c r="F972">
        <f>A972=$B$5</f>
        <v/>
      </c>
      <c r="G972">
        <f>IF(E972,A972,10^9)</f>
        <v/>
      </c>
      <c r="H972">
        <f>IF(E972,D972,10^9)</f>
        <v/>
      </c>
    </row>
    <row r="973">
      <c r="A973" t="n">
        <v>965</v>
      </c>
      <c r="B973" t="n">
        <v>0</v>
      </c>
      <c r="C973" t="n">
        <v>0</v>
      </c>
      <c r="D973" t="n">
        <v>1171.670986889335</v>
      </c>
      <c r="E973">
        <f>C973&lt;0.05</f>
        <v/>
      </c>
      <c r="F973">
        <f>A973=$B$5</f>
        <v/>
      </c>
      <c r="G973">
        <f>IF(E973,A973,10^9)</f>
        <v/>
      </c>
      <c r="H973">
        <f>IF(E973,D973,10^9)</f>
        <v/>
      </c>
    </row>
    <row r="974">
      <c r="A974" t="n">
        <v>966</v>
      </c>
      <c r="B974" t="n">
        <v>0</v>
      </c>
      <c r="C974" t="n">
        <v>0</v>
      </c>
      <c r="D974" t="n">
        <v>1172.670986889335</v>
      </c>
      <c r="E974">
        <f>C974&lt;0.05</f>
        <v/>
      </c>
      <c r="F974">
        <f>A974=$B$5</f>
        <v/>
      </c>
      <c r="G974">
        <f>IF(E974,A974,10^9)</f>
        <v/>
      </c>
      <c r="H974">
        <f>IF(E974,D974,10^9)</f>
        <v/>
      </c>
    </row>
    <row r="975">
      <c r="A975" t="n">
        <v>967</v>
      </c>
      <c r="B975" t="n">
        <v>0</v>
      </c>
      <c r="C975" t="n">
        <v>0</v>
      </c>
      <c r="D975" t="n">
        <v>1173.670986889335</v>
      </c>
      <c r="E975">
        <f>C975&lt;0.05</f>
        <v/>
      </c>
      <c r="F975">
        <f>A975=$B$5</f>
        <v/>
      </c>
      <c r="G975">
        <f>IF(E975,A975,10^9)</f>
        <v/>
      </c>
      <c r="H975">
        <f>IF(E975,D975,10^9)</f>
        <v/>
      </c>
    </row>
    <row r="976">
      <c r="A976" t="n">
        <v>968</v>
      </c>
      <c r="B976" t="n">
        <v>0</v>
      </c>
      <c r="C976" t="n">
        <v>0</v>
      </c>
      <c r="D976" t="n">
        <v>1174.670986889335</v>
      </c>
      <c r="E976">
        <f>C976&lt;0.05</f>
        <v/>
      </c>
      <c r="F976">
        <f>A976=$B$5</f>
        <v/>
      </c>
      <c r="G976">
        <f>IF(E976,A976,10^9)</f>
        <v/>
      </c>
      <c r="H976">
        <f>IF(E976,D976,10^9)</f>
        <v/>
      </c>
    </row>
    <row r="977">
      <c r="A977" t="n">
        <v>969</v>
      </c>
      <c r="B977" t="n">
        <v>0</v>
      </c>
      <c r="C977" t="n">
        <v>0</v>
      </c>
      <c r="D977" t="n">
        <v>1175.670986889335</v>
      </c>
      <c r="E977">
        <f>C977&lt;0.05</f>
        <v/>
      </c>
      <c r="F977">
        <f>A977=$B$5</f>
        <v/>
      </c>
      <c r="G977">
        <f>IF(E977,A977,10^9)</f>
        <v/>
      </c>
      <c r="H977">
        <f>IF(E977,D977,10^9)</f>
        <v/>
      </c>
    </row>
    <row r="978">
      <c r="A978" t="n">
        <v>970</v>
      </c>
      <c r="B978" t="n">
        <v>0</v>
      </c>
      <c r="C978" t="n">
        <v>0</v>
      </c>
      <c r="D978" t="n">
        <v>1176.670986889335</v>
      </c>
      <c r="E978">
        <f>C978&lt;0.05</f>
        <v/>
      </c>
      <c r="F978">
        <f>A978=$B$5</f>
        <v/>
      </c>
      <c r="G978">
        <f>IF(E978,A978,10^9)</f>
        <v/>
      </c>
      <c r="H978">
        <f>IF(E978,D978,10^9)</f>
        <v/>
      </c>
    </row>
    <row r="979">
      <c r="A979" t="n">
        <v>971</v>
      </c>
      <c r="B979" t="n">
        <v>0</v>
      </c>
      <c r="C979" t="n">
        <v>0</v>
      </c>
      <c r="D979" t="n">
        <v>1177.670986889335</v>
      </c>
      <c r="E979">
        <f>C979&lt;0.05</f>
        <v/>
      </c>
      <c r="F979">
        <f>A979=$B$5</f>
        <v/>
      </c>
      <c r="G979">
        <f>IF(E979,A979,10^9)</f>
        <v/>
      </c>
      <c r="H979">
        <f>IF(E979,D979,10^9)</f>
        <v/>
      </c>
    </row>
    <row r="980">
      <c r="A980" t="n">
        <v>972</v>
      </c>
      <c r="B980" t="n">
        <v>0</v>
      </c>
      <c r="C980" t="n">
        <v>0</v>
      </c>
      <c r="D980" t="n">
        <v>1178.670986889335</v>
      </c>
      <c r="E980">
        <f>C980&lt;0.05</f>
        <v/>
      </c>
      <c r="F980">
        <f>A980=$B$5</f>
        <v/>
      </c>
      <c r="G980">
        <f>IF(E980,A980,10^9)</f>
        <v/>
      </c>
      <c r="H980">
        <f>IF(E980,D980,10^9)</f>
        <v/>
      </c>
    </row>
    <row r="981">
      <c r="A981" t="n">
        <v>973</v>
      </c>
      <c r="B981" t="n">
        <v>0</v>
      </c>
      <c r="C981" t="n">
        <v>0</v>
      </c>
      <c r="D981" t="n">
        <v>1179.670986889335</v>
      </c>
      <c r="E981">
        <f>C981&lt;0.05</f>
        <v/>
      </c>
      <c r="F981">
        <f>A981=$B$5</f>
        <v/>
      </c>
      <c r="G981">
        <f>IF(E981,A981,10^9)</f>
        <v/>
      </c>
      <c r="H981">
        <f>IF(E981,D981,10^9)</f>
        <v/>
      </c>
    </row>
    <row r="982">
      <c r="A982" t="n">
        <v>974</v>
      </c>
      <c r="B982" t="n">
        <v>0</v>
      </c>
      <c r="C982" t="n">
        <v>0</v>
      </c>
      <c r="D982" t="n">
        <v>1180.670986889335</v>
      </c>
      <c r="E982">
        <f>C982&lt;0.05</f>
        <v/>
      </c>
      <c r="F982">
        <f>A982=$B$5</f>
        <v/>
      </c>
      <c r="G982">
        <f>IF(E982,A982,10^9)</f>
        <v/>
      </c>
      <c r="H982">
        <f>IF(E982,D982,10^9)</f>
        <v/>
      </c>
    </row>
    <row r="983">
      <c r="A983" t="n">
        <v>975</v>
      </c>
      <c r="B983" t="n">
        <v>0</v>
      </c>
      <c r="C983" t="n">
        <v>0</v>
      </c>
      <c r="D983" t="n">
        <v>1181.670986889335</v>
      </c>
      <c r="E983">
        <f>C983&lt;0.05</f>
        <v/>
      </c>
      <c r="F983">
        <f>A983=$B$5</f>
        <v/>
      </c>
      <c r="G983">
        <f>IF(E983,A983,10^9)</f>
        <v/>
      </c>
      <c r="H983">
        <f>IF(E983,D983,10^9)</f>
        <v/>
      </c>
    </row>
    <row r="984">
      <c r="A984" t="n">
        <v>976</v>
      </c>
      <c r="B984" t="n">
        <v>0</v>
      </c>
      <c r="C984" t="n">
        <v>0</v>
      </c>
      <c r="D984" t="n">
        <v>1182.670986889335</v>
      </c>
      <c r="E984">
        <f>C984&lt;0.05</f>
        <v/>
      </c>
      <c r="F984">
        <f>A984=$B$5</f>
        <v/>
      </c>
      <c r="G984">
        <f>IF(E984,A984,10^9)</f>
        <v/>
      </c>
      <c r="H984">
        <f>IF(E984,D984,10^9)</f>
        <v/>
      </c>
    </row>
    <row r="985">
      <c r="A985" t="n">
        <v>977</v>
      </c>
      <c r="B985" t="n">
        <v>0</v>
      </c>
      <c r="C985" t="n">
        <v>0</v>
      </c>
      <c r="D985" t="n">
        <v>1183.670986889335</v>
      </c>
      <c r="E985">
        <f>C985&lt;0.05</f>
        <v/>
      </c>
      <c r="F985">
        <f>A985=$B$5</f>
        <v/>
      </c>
      <c r="G985">
        <f>IF(E985,A985,10^9)</f>
        <v/>
      </c>
      <c r="H985">
        <f>IF(E985,D985,10^9)</f>
        <v/>
      </c>
    </row>
    <row r="986">
      <c r="A986" t="n">
        <v>978</v>
      </c>
      <c r="B986" t="n">
        <v>0</v>
      </c>
      <c r="C986" t="n">
        <v>0</v>
      </c>
      <c r="D986" t="n">
        <v>1184.670986889335</v>
      </c>
      <c r="E986">
        <f>C986&lt;0.05</f>
        <v/>
      </c>
      <c r="F986">
        <f>A986=$B$5</f>
        <v/>
      </c>
      <c r="G986">
        <f>IF(E986,A986,10^9)</f>
        <v/>
      </c>
      <c r="H986">
        <f>IF(E986,D986,10^9)</f>
        <v/>
      </c>
    </row>
    <row r="987">
      <c r="A987" t="n">
        <v>979</v>
      </c>
      <c r="B987" t="n">
        <v>0</v>
      </c>
      <c r="C987" t="n">
        <v>0</v>
      </c>
      <c r="D987" t="n">
        <v>1185.670986889335</v>
      </c>
      <c r="E987">
        <f>C987&lt;0.05</f>
        <v/>
      </c>
      <c r="F987">
        <f>A987=$B$5</f>
        <v/>
      </c>
      <c r="G987">
        <f>IF(E987,A987,10^9)</f>
        <v/>
      </c>
      <c r="H987">
        <f>IF(E987,D987,10^9)</f>
        <v/>
      </c>
    </row>
    <row r="988">
      <c r="A988" t="n">
        <v>980</v>
      </c>
      <c r="B988" t="n">
        <v>0</v>
      </c>
      <c r="C988" t="n">
        <v>0</v>
      </c>
      <c r="D988" t="n">
        <v>1186.670986889335</v>
      </c>
      <c r="E988">
        <f>C988&lt;0.05</f>
        <v/>
      </c>
      <c r="F988">
        <f>A988=$B$5</f>
        <v/>
      </c>
      <c r="G988">
        <f>IF(E988,A988,10^9)</f>
        <v/>
      </c>
      <c r="H988">
        <f>IF(E988,D988,10^9)</f>
        <v/>
      </c>
    </row>
    <row r="989">
      <c r="A989" t="n">
        <v>981</v>
      </c>
      <c r="B989" t="n">
        <v>0</v>
      </c>
      <c r="C989" t="n">
        <v>0</v>
      </c>
      <c r="D989" t="n">
        <v>1187.670986889335</v>
      </c>
      <c r="E989">
        <f>C989&lt;0.05</f>
        <v/>
      </c>
      <c r="F989">
        <f>A989=$B$5</f>
        <v/>
      </c>
      <c r="G989">
        <f>IF(E989,A989,10^9)</f>
        <v/>
      </c>
      <c r="H989">
        <f>IF(E989,D989,10^9)</f>
        <v/>
      </c>
    </row>
    <row r="990">
      <c r="A990" t="n">
        <v>982</v>
      </c>
      <c r="B990" t="n">
        <v>0</v>
      </c>
      <c r="C990" t="n">
        <v>0</v>
      </c>
      <c r="D990" t="n">
        <v>1188.670986889335</v>
      </c>
      <c r="E990">
        <f>C990&lt;0.05</f>
        <v/>
      </c>
      <c r="F990">
        <f>A990=$B$5</f>
        <v/>
      </c>
      <c r="G990">
        <f>IF(E990,A990,10^9)</f>
        <v/>
      </c>
      <c r="H990">
        <f>IF(E990,D990,10^9)</f>
        <v/>
      </c>
    </row>
    <row r="991">
      <c r="A991" t="n">
        <v>983</v>
      </c>
      <c r="B991" t="n">
        <v>0</v>
      </c>
      <c r="C991" t="n">
        <v>0</v>
      </c>
      <c r="D991" t="n">
        <v>1189.670986889335</v>
      </c>
      <c r="E991">
        <f>C991&lt;0.05</f>
        <v/>
      </c>
      <c r="F991">
        <f>A991=$B$5</f>
        <v/>
      </c>
      <c r="G991">
        <f>IF(E991,A991,10^9)</f>
        <v/>
      </c>
      <c r="H991">
        <f>IF(E991,D991,10^9)</f>
        <v/>
      </c>
    </row>
    <row r="992">
      <c r="A992" t="n">
        <v>984</v>
      </c>
      <c r="B992" t="n">
        <v>0</v>
      </c>
      <c r="C992" t="n">
        <v>0</v>
      </c>
      <c r="D992" t="n">
        <v>1190.670986889335</v>
      </c>
      <c r="E992">
        <f>C992&lt;0.05</f>
        <v/>
      </c>
      <c r="F992">
        <f>A992=$B$5</f>
        <v/>
      </c>
      <c r="G992">
        <f>IF(E992,A992,10^9)</f>
        <v/>
      </c>
      <c r="H992">
        <f>IF(E992,D992,10^9)</f>
        <v/>
      </c>
    </row>
    <row r="993">
      <c r="A993" t="n">
        <v>985</v>
      </c>
      <c r="B993" t="n">
        <v>0</v>
      </c>
      <c r="C993" t="n">
        <v>0</v>
      </c>
      <c r="D993" t="n">
        <v>1191.670986889335</v>
      </c>
      <c r="E993">
        <f>C993&lt;0.05</f>
        <v/>
      </c>
      <c r="F993">
        <f>A993=$B$5</f>
        <v/>
      </c>
      <c r="G993">
        <f>IF(E993,A993,10^9)</f>
        <v/>
      </c>
      <c r="H993">
        <f>IF(E993,D993,10^9)</f>
        <v/>
      </c>
    </row>
    <row r="994">
      <c r="A994" t="n">
        <v>986</v>
      </c>
      <c r="B994" t="n">
        <v>0</v>
      </c>
      <c r="C994" t="n">
        <v>0</v>
      </c>
      <c r="D994" t="n">
        <v>1192.670986889335</v>
      </c>
      <c r="E994">
        <f>C994&lt;0.05</f>
        <v/>
      </c>
      <c r="F994">
        <f>A994=$B$5</f>
        <v/>
      </c>
      <c r="G994">
        <f>IF(E994,A994,10^9)</f>
        <v/>
      </c>
      <c r="H994">
        <f>IF(E994,D994,10^9)</f>
        <v/>
      </c>
    </row>
    <row r="995">
      <c r="A995" t="n">
        <v>987</v>
      </c>
      <c r="B995" t="n">
        <v>0</v>
      </c>
      <c r="C995" t="n">
        <v>0</v>
      </c>
      <c r="D995" t="n">
        <v>1193.670986889335</v>
      </c>
      <c r="E995">
        <f>C995&lt;0.05</f>
        <v/>
      </c>
      <c r="F995">
        <f>A995=$B$5</f>
        <v/>
      </c>
      <c r="G995">
        <f>IF(E995,A995,10^9)</f>
        <v/>
      </c>
      <c r="H995">
        <f>IF(E995,D995,10^9)</f>
        <v/>
      </c>
    </row>
    <row r="996">
      <c r="A996" t="n">
        <v>988</v>
      </c>
      <c r="B996" t="n">
        <v>0</v>
      </c>
      <c r="C996" t="n">
        <v>0</v>
      </c>
      <c r="D996" t="n">
        <v>1194.670986889335</v>
      </c>
      <c r="E996">
        <f>C996&lt;0.05</f>
        <v/>
      </c>
      <c r="F996">
        <f>A996=$B$5</f>
        <v/>
      </c>
      <c r="G996">
        <f>IF(E996,A996,10^9)</f>
        <v/>
      </c>
      <c r="H996">
        <f>IF(E996,D996,10^9)</f>
        <v/>
      </c>
    </row>
    <row r="997">
      <c r="A997" t="n">
        <v>989</v>
      </c>
      <c r="B997" t="n">
        <v>0</v>
      </c>
      <c r="C997" t="n">
        <v>0</v>
      </c>
      <c r="D997" t="n">
        <v>1195.670986889335</v>
      </c>
      <c r="E997">
        <f>C997&lt;0.05</f>
        <v/>
      </c>
      <c r="F997">
        <f>A997=$B$5</f>
        <v/>
      </c>
      <c r="G997">
        <f>IF(E997,A997,10^9)</f>
        <v/>
      </c>
      <c r="H997">
        <f>IF(E997,D997,10^9)</f>
        <v/>
      </c>
    </row>
    <row r="998">
      <c r="A998" t="n">
        <v>990</v>
      </c>
      <c r="B998" t="n">
        <v>0</v>
      </c>
      <c r="C998" t="n">
        <v>0</v>
      </c>
      <c r="D998" t="n">
        <v>1196.670986889335</v>
      </c>
      <c r="E998">
        <f>C998&lt;0.05</f>
        <v/>
      </c>
      <c r="F998">
        <f>A998=$B$5</f>
        <v/>
      </c>
      <c r="G998">
        <f>IF(E998,A998,10^9)</f>
        <v/>
      </c>
      <c r="H998">
        <f>IF(E998,D998,10^9)</f>
        <v/>
      </c>
    </row>
    <row r="999">
      <c r="A999" t="n">
        <v>991</v>
      </c>
      <c r="B999" t="n">
        <v>0</v>
      </c>
      <c r="C999" t="n">
        <v>0</v>
      </c>
      <c r="D999" t="n">
        <v>1197.670986889335</v>
      </c>
      <c r="E999">
        <f>C999&lt;0.05</f>
        <v/>
      </c>
      <c r="F999">
        <f>A999=$B$5</f>
        <v/>
      </c>
      <c r="G999">
        <f>IF(E999,A999,10^9)</f>
        <v/>
      </c>
      <c r="H999">
        <f>IF(E999,D999,10^9)</f>
        <v/>
      </c>
    </row>
    <row r="1000">
      <c r="A1000" t="n">
        <v>992</v>
      </c>
      <c r="B1000" t="n">
        <v>0</v>
      </c>
      <c r="C1000" t="n">
        <v>0</v>
      </c>
      <c r="D1000" t="n">
        <v>1198.670986889335</v>
      </c>
      <c r="E1000">
        <f>C1000&lt;0.05</f>
        <v/>
      </c>
      <c r="F1000">
        <f>A1000=$B$5</f>
        <v/>
      </c>
      <c r="G1000">
        <f>IF(E1000,A1000,10^9)</f>
        <v/>
      </c>
      <c r="H1000">
        <f>IF(E1000,D1000,10^9)</f>
        <v/>
      </c>
    </row>
    <row r="1001">
      <c r="A1001" t="n">
        <v>993</v>
      </c>
      <c r="B1001" t="n">
        <v>0</v>
      </c>
      <c r="C1001" t="n">
        <v>0</v>
      </c>
      <c r="D1001" t="n">
        <v>1199.670986889335</v>
      </c>
      <c r="E1001">
        <f>C1001&lt;0.05</f>
        <v/>
      </c>
      <c r="F1001">
        <f>A1001=$B$5</f>
        <v/>
      </c>
      <c r="G1001">
        <f>IF(E1001,A1001,10^9)</f>
        <v/>
      </c>
      <c r="H1001">
        <f>IF(E1001,D1001,10^9)</f>
        <v/>
      </c>
    </row>
    <row r="1002">
      <c r="A1002" t="n">
        <v>994</v>
      </c>
      <c r="B1002" t="n">
        <v>0</v>
      </c>
      <c r="C1002" t="n">
        <v>0</v>
      </c>
      <c r="D1002" t="n">
        <v>1200.670986889335</v>
      </c>
      <c r="E1002">
        <f>C1002&lt;0.05</f>
        <v/>
      </c>
      <c r="F1002">
        <f>A1002=$B$5</f>
        <v/>
      </c>
      <c r="G1002">
        <f>IF(E1002,A1002,10^9)</f>
        <v/>
      </c>
      <c r="H1002">
        <f>IF(E1002,D1002,10^9)</f>
        <v/>
      </c>
    </row>
    <row r="1003">
      <c r="A1003" t="n">
        <v>995</v>
      </c>
      <c r="B1003" t="n">
        <v>0</v>
      </c>
      <c r="C1003" t="n">
        <v>0</v>
      </c>
      <c r="D1003" t="n">
        <v>1201.670986889335</v>
      </c>
      <c r="E1003">
        <f>C1003&lt;0.05</f>
        <v/>
      </c>
      <c r="F1003">
        <f>A1003=$B$5</f>
        <v/>
      </c>
      <c r="G1003">
        <f>IF(E1003,A1003,10^9)</f>
        <v/>
      </c>
      <c r="H1003">
        <f>IF(E1003,D1003,10^9)</f>
        <v/>
      </c>
    </row>
    <row r="1004">
      <c r="A1004" t="n">
        <v>996</v>
      </c>
      <c r="B1004" t="n">
        <v>0</v>
      </c>
      <c r="C1004" t="n">
        <v>0</v>
      </c>
      <c r="D1004" t="n">
        <v>1202.670986889335</v>
      </c>
      <c r="E1004">
        <f>C1004&lt;0.05</f>
        <v/>
      </c>
      <c r="F1004">
        <f>A1004=$B$5</f>
        <v/>
      </c>
      <c r="G1004">
        <f>IF(E1004,A1004,10^9)</f>
        <v/>
      </c>
      <c r="H1004">
        <f>IF(E1004,D1004,10^9)</f>
        <v/>
      </c>
    </row>
    <row r="1005">
      <c r="A1005" t="n">
        <v>997</v>
      </c>
      <c r="B1005" t="n">
        <v>0</v>
      </c>
      <c r="C1005" t="n">
        <v>0</v>
      </c>
      <c r="D1005" t="n">
        <v>1203.670986889335</v>
      </c>
      <c r="E1005">
        <f>C1005&lt;0.05</f>
        <v/>
      </c>
      <c r="F1005">
        <f>A1005=$B$5</f>
        <v/>
      </c>
      <c r="G1005">
        <f>IF(E1005,A1005,10^9)</f>
        <v/>
      </c>
      <c r="H1005">
        <f>IF(E1005,D1005,10^9)</f>
        <v/>
      </c>
    </row>
    <row r="1006">
      <c r="A1006" t="n">
        <v>998</v>
      </c>
      <c r="B1006" t="n">
        <v>0</v>
      </c>
      <c r="C1006" t="n">
        <v>0</v>
      </c>
      <c r="D1006" t="n">
        <v>1204.670986889335</v>
      </c>
      <c r="E1006">
        <f>C1006&lt;0.05</f>
        <v/>
      </c>
      <c r="F1006">
        <f>A1006=$B$5</f>
        <v/>
      </c>
      <c r="G1006">
        <f>IF(E1006,A1006,10^9)</f>
        <v/>
      </c>
      <c r="H1006">
        <f>IF(E1006,D1006,10^9)</f>
        <v/>
      </c>
    </row>
    <row r="1007">
      <c r="A1007" t="n">
        <v>999</v>
      </c>
      <c r="B1007" t="n">
        <v>0</v>
      </c>
      <c r="C1007" t="n">
        <v>0</v>
      </c>
      <c r="D1007" t="n">
        <v>1205.670986889335</v>
      </c>
      <c r="E1007">
        <f>C1007&lt;0.05</f>
        <v/>
      </c>
      <c r="F1007">
        <f>A1007=$B$5</f>
        <v/>
      </c>
      <c r="G1007">
        <f>IF(E1007,A1007,10^9)</f>
        <v/>
      </c>
      <c r="H1007">
        <f>IF(E1007,D1007,10^9)</f>
        <v/>
      </c>
    </row>
    <row r="1008">
      <c r="A1008" t="n">
        <v>1000</v>
      </c>
      <c r="B1008" t="n">
        <v>0</v>
      </c>
      <c r="C1008" t="n">
        <v>0</v>
      </c>
      <c r="D1008" t="n">
        <v>1206.670986889335</v>
      </c>
      <c r="E1008">
        <f>C1008&lt;0.05</f>
        <v/>
      </c>
      <c r="F1008">
        <f>A1008=$B$5</f>
        <v/>
      </c>
      <c r="G1008">
        <f>IF(E1008,A1008,10^9)</f>
        <v/>
      </c>
      <c r="H1008">
        <f>IF(E1008,D1008,10^9)</f>
        <v/>
      </c>
    </row>
    <row r="1009">
      <c r="A1009" t="n">
        <v>1001</v>
      </c>
      <c r="B1009" t="n">
        <v>0</v>
      </c>
      <c r="C1009" t="n">
        <v>0</v>
      </c>
      <c r="D1009" t="n">
        <v>1207.670986889335</v>
      </c>
      <c r="E1009">
        <f>C1009&lt;0.05</f>
        <v/>
      </c>
      <c r="F1009">
        <f>A1009=$B$5</f>
        <v/>
      </c>
      <c r="G1009">
        <f>IF(E1009,A1009,10^9)</f>
        <v/>
      </c>
      <c r="H1009">
        <f>IF(E1009,D1009,10^9)</f>
        <v/>
      </c>
    </row>
    <row r="1010">
      <c r="A1010" t="n">
        <v>1002</v>
      </c>
      <c r="B1010" t="n">
        <v>0</v>
      </c>
      <c r="C1010" t="n">
        <v>0</v>
      </c>
      <c r="D1010" t="n">
        <v>1208.670986889335</v>
      </c>
      <c r="E1010">
        <f>C1010&lt;0.05</f>
        <v/>
      </c>
      <c r="F1010">
        <f>A1010=$B$5</f>
        <v/>
      </c>
      <c r="G1010">
        <f>IF(E1010,A1010,10^9)</f>
        <v/>
      </c>
      <c r="H1010">
        <f>IF(E1010,D1010,10^9)</f>
        <v/>
      </c>
    </row>
    <row r="1011">
      <c r="A1011" t="n">
        <v>1003</v>
      </c>
      <c r="B1011" t="n">
        <v>0</v>
      </c>
      <c r="C1011" t="n">
        <v>0</v>
      </c>
      <c r="D1011" t="n">
        <v>1209.670986889335</v>
      </c>
      <c r="E1011">
        <f>C1011&lt;0.05</f>
        <v/>
      </c>
      <c r="F1011">
        <f>A1011=$B$5</f>
        <v/>
      </c>
      <c r="G1011">
        <f>IF(E1011,A1011,10^9)</f>
        <v/>
      </c>
      <c r="H1011">
        <f>IF(E1011,D1011,10^9)</f>
        <v/>
      </c>
    </row>
    <row r="1012">
      <c r="A1012" t="n">
        <v>1004</v>
      </c>
      <c r="B1012" t="n">
        <v>0</v>
      </c>
      <c r="C1012" t="n">
        <v>0</v>
      </c>
      <c r="D1012" t="n">
        <v>1210.670986889335</v>
      </c>
      <c r="E1012">
        <f>C1012&lt;0.05</f>
        <v/>
      </c>
      <c r="F1012">
        <f>A1012=$B$5</f>
        <v/>
      </c>
      <c r="G1012">
        <f>IF(E1012,A1012,10^9)</f>
        <v/>
      </c>
      <c r="H1012">
        <f>IF(E1012,D1012,10^9)</f>
        <v/>
      </c>
    </row>
    <row r="1013">
      <c r="A1013" t="n">
        <v>1005</v>
      </c>
      <c r="B1013" t="n">
        <v>0</v>
      </c>
      <c r="C1013" t="n">
        <v>0</v>
      </c>
      <c r="D1013" t="n">
        <v>1211.670986889335</v>
      </c>
      <c r="E1013">
        <f>C1013&lt;0.05</f>
        <v/>
      </c>
      <c r="F1013">
        <f>A1013=$B$5</f>
        <v/>
      </c>
      <c r="G1013">
        <f>IF(E1013,A1013,10^9)</f>
        <v/>
      </c>
      <c r="H1013">
        <f>IF(E1013,D1013,10^9)</f>
        <v/>
      </c>
    </row>
    <row r="1014">
      <c r="A1014" t="n">
        <v>1006</v>
      </c>
      <c r="B1014" t="n">
        <v>0</v>
      </c>
      <c r="C1014" t="n">
        <v>0</v>
      </c>
      <c r="D1014" t="n">
        <v>1212.670986889335</v>
      </c>
      <c r="E1014">
        <f>C1014&lt;0.05</f>
        <v/>
      </c>
      <c r="F1014">
        <f>A1014=$B$5</f>
        <v/>
      </c>
      <c r="G1014">
        <f>IF(E1014,A1014,10^9)</f>
        <v/>
      </c>
      <c r="H1014">
        <f>IF(E1014,D1014,10^9)</f>
        <v/>
      </c>
    </row>
    <row r="1015">
      <c r="A1015" t="n">
        <v>1007</v>
      </c>
      <c r="B1015" t="n">
        <v>0</v>
      </c>
      <c r="C1015" t="n">
        <v>0</v>
      </c>
      <c r="D1015" t="n">
        <v>1213.670986889335</v>
      </c>
      <c r="E1015">
        <f>C1015&lt;0.05</f>
        <v/>
      </c>
      <c r="F1015">
        <f>A1015=$B$5</f>
        <v/>
      </c>
      <c r="G1015">
        <f>IF(E1015,A1015,10^9)</f>
        <v/>
      </c>
      <c r="H1015">
        <f>IF(E1015,D1015,10^9)</f>
        <v/>
      </c>
    </row>
    <row r="1016">
      <c r="A1016" t="n">
        <v>1008</v>
      </c>
      <c r="B1016" t="n">
        <v>0</v>
      </c>
      <c r="C1016" t="n">
        <v>0</v>
      </c>
      <c r="D1016" t="n">
        <v>1214.670986889335</v>
      </c>
      <c r="E1016">
        <f>C1016&lt;0.05</f>
        <v/>
      </c>
      <c r="F1016">
        <f>A1016=$B$5</f>
        <v/>
      </c>
      <c r="G1016">
        <f>IF(E1016,A1016,10^9)</f>
        <v/>
      </c>
      <c r="H1016">
        <f>IF(E1016,D1016,10^9)</f>
        <v/>
      </c>
    </row>
    <row r="1017">
      <c r="A1017" t="n">
        <v>1009</v>
      </c>
      <c r="B1017" t="n">
        <v>0</v>
      </c>
      <c r="C1017" t="n">
        <v>0</v>
      </c>
      <c r="D1017" t="n">
        <v>1215.670986889335</v>
      </c>
      <c r="E1017">
        <f>C1017&lt;0.05</f>
        <v/>
      </c>
      <c r="F1017">
        <f>A1017=$B$5</f>
        <v/>
      </c>
      <c r="G1017">
        <f>IF(E1017,A1017,10^9)</f>
        <v/>
      </c>
      <c r="H1017">
        <f>IF(E1017,D1017,10^9)</f>
        <v/>
      </c>
    </row>
    <row r="1018">
      <c r="A1018" t="n">
        <v>1010</v>
      </c>
      <c r="B1018" t="n">
        <v>0</v>
      </c>
      <c r="C1018" t="n">
        <v>0</v>
      </c>
      <c r="D1018" t="n">
        <v>1216.670986889335</v>
      </c>
      <c r="E1018">
        <f>C1018&lt;0.05</f>
        <v/>
      </c>
      <c r="F1018">
        <f>A1018=$B$5</f>
        <v/>
      </c>
      <c r="G1018">
        <f>IF(E1018,A1018,10^9)</f>
        <v/>
      </c>
      <c r="H1018">
        <f>IF(E1018,D1018,10^9)</f>
        <v/>
      </c>
    </row>
    <row r="1019">
      <c r="A1019" t="n">
        <v>1011</v>
      </c>
      <c r="B1019" t="n">
        <v>0</v>
      </c>
      <c r="C1019" t="n">
        <v>0</v>
      </c>
      <c r="D1019" t="n">
        <v>1217.670986889335</v>
      </c>
      <c r="E1019">
        <f>C1019&lt;0.05</f>
        <v/>
      </c>
      <c r="F1019">
        <f>A1019=$B$5</f>
        <v/>
      </c>
      <c r="G1019">
        <f>IF(E1019,A1019,10^9)</f>
        <v/>
      </c>
      <c r="H1019">
        <f>IF(E1019,D1019,10^9)</f>
        <v/>
      </c>
    </row>
    <row r="1020">
      <c r="A1020" t="n">
        <v>1012</v>
      </c>
      <c r="B1020" t="n">
        <v>0</v>
      </c>
      <c r="C1020" t="n">
        <v>0</v>
      </c>
      <c r="D1020" t="n">
        <v>1218.670986889335</v>
      </c>
      <c r="E1020">
        <f>C1020&lt;0.05</f>
        <v/>
      </c>
      <c r="F1020">
        <f>A1020=$B$5</f>
        <v/>
      </c>
      <c r="G1020">
        <f>IF(E1020,A1020,10^9)</f>
        <v/>
      </c>
      <c r="H1020">
        <f>IF(E1020,D1020,10^9)</f>
        <v/>
      </c>
    </row>
    <row r="1021">
      <c r="A1021" t="n">
        <v>1013</v>
      </c>
      <c r="B1021" t="n">
        <v>0</v>
      </c>
      <c r="C1021" t="n">
        <v>0</v>
      </c>
      <c r="D1021" t="n">
        <v>1219.670986889335</v>
      </c>
      <c r="E1021">
        <f>C1021&lt;0.05</f>
        <v/>
      </c>
      <c r="F1021">
        <f>A1021=$B$5</f>
        <v/>
      </c>
      <c r="G1021">
        <f>IF(E1021,A1021,10^9)</f>
        <v/>
      </c>
      <c r="H1021">
        <f>IF(E1021,D1021,10^9)</f>
        <v/>
      </c>
    </row>
    <row r="1022">
      <c r="A1022" t="n">
        <v>1014</v>
      </c>
      <c r="B1022" t="n">
        <v>0</v>
      </c>
      <c r="C1022" t="n">
        <v>0</v>
      </c>
      <c r="D1022" t="n">
        <v>1220.670986889335</v>
      </c>
      <c r="E1022">
        <f>C1022&lt;0.05</f>
        <v/>
      </c>
      <c r="F1022">
        <f>A1022=$B$5</f>
        <v/>
      </c>
      <c r="G1022">
        <f>IF(E1022,A1022,10^9)</f>
        <v/>
      </c>
      <c r="H1022">
        <f>IF(E1022,D1022,10^9)</f>
        <v/>
      </c>
    </row>
    <row r="1023">
      <c r="A1023" t="n">
        <v>1015</v>
      </c>
      <c r="B1023" t="n">
        <v>0</v>
      </c>
      <c r="C1023" t="n">
        <v>0</v>
      </c>
      <c r="D1023" t="n">
        <v>1221.670986889335</v>
      </c>
      <c r="E1023">
        <f>C1023&lt;0.05</f>
        <v/>
      </c>
      <c r="F1023">
        <f>A1023=$B$5</f>
        <v/>
      </c>
      <c r="G1023">
        <f>IF(E1023,A1023,10^9)</f>
        <v/>
      </c>
      <c r="H1023">
        <f>IF(E1023,D1023,10^9)</f>
        <v/>
      </c>
    </row>
    <row r="1024">
      <c r="A1024" t="n">
        <v>1016</v>
      </c>
      <c r="B1024" t="n">
        <v>0</v>
      </c>
      <c r="C1024" t="n">
        <v>0</v>
      </c>
      <c r="D1024" t="n">
        <v>1222.670986889335</v>
      </c>
      <c r="E1024">
        <f>C1024&lt;0.05</f>
        <v/>
      </c>
      <c r="F1024">
        <f>A1024=$B$5</f>
        <v/>
      </c>
      <c r="G1024">
        <f>IF(E1024,A1024,10^9)</f>
        <v/>
      </c>
      <c r="H1024">
        <f>IF(E1024,D1024,10^9)</f>
        <v/>
      </c>
    </row>
    <row r="1025">
      <c r="A1025" t="n">
        <v>1017</v>
      </c>
      <c r="B1025" t="n">
        <v>0</v>
      </c>
      <c r="C1025" t="n">
        <v>0</v>
      </c>
      <c r="D1025" t="n">
        <v>1223.670986889335</v>
      </c>
      <c r="E1025">
        <f>C1025&lt;0.05</f>
        <v/>
      </c>
      <c r="F1025">
        <f>A1025=$B$5</f>
        <v/>
      </c>
      <c r="G1025">
        <f>IF(E1025,A1025,10^9)</f>
        <v/>
      </c>
      <c r="H1025">
        <f>IF(E1025,D1025,10^9)</f>
        <v/>
      </c>
    </row>
    <row r="1026">
      <c r="A1026" t="n">
        <v>1018</v>
      </c>
      <c r="B1026" t="n">
        <v>0</v>
      </c>
      <c r="C1026" t="n">
        <v>0</v>
      </c>
      <c r="D1026" t="n">
        <v>1224.670986889335</v>
      </c>
      <c r="E1026">
        <f>C1026&lt;0.05</f>
        <v/>
      </c>
      <c r="F1026">
        <f>A1026=$B$5</f>
        <v/>
      </c>
      <c r="G1026">
        <f>IF(E1026,A1026,10^9)</f>
        <v/>
      </c>
      <c r="H1026">
        <f>IF(E1026,D1026,10^9)</f>
        <v/>
      </c>
    </row>
    <row r="1027">
      <c r="A1027" t="n">
        <v>1019</v>
      </c>
      <c r="B1027" t="n">
        <v>0</v>
      </c>
      <c r="C1027" t="n">
        <v>0</v>
      </c>
      <c r="D1027" t="n">
        <v>1225.670986889335</v>
      </c>
      <c r="E1027">
        <f>C1027&lt;0.05</f>
        <v/>
      </c>
      <c r="F1027">
        <f>A1027=$B$5</f>
        <v/>
      </c>
      <c r="G1027">
        <f>IF(E1027,A1027,10^9)</f>
        <v/>
      </c>
      <c r="H1027">
        <f>IF(E1027,D1027,10^9)</f>
        <v/>
      </c>
    </row>
    <row r="1028">
      <c r="A1028" t="n">
        <v>1020</v>
      </c>
      <c r="B1028" t="n">
        <v>0</v>
      </c>
      <c r="C1028" t="n">
        <v>0</v>
      </c>
      <c r="D1028" t="n">
        <v>1226.670986889335</v>
      </c>
      <c r="E1028">
        <f>C1028&lt;0.05</f>
        <v/>
      </c>
      <c r="F1028">
        <f>A1028=$B$5</f>
        <v/>
      </c>
      <c r="G1028">
        <f>IF(E1028,A1028,10^9)</f>
        <v/>
      </c>
      <c r="H1028">
        <f>IF(E1028,D1028,10^9)</f>
        <v/>
      </c>
    </row>
    <row r="1029">
      <c r="A1029" t="n">
        <v>1021</v>
      </c>
      <c r="B1029" t="n">
        <v>0</v>
      </c>
      <c r="C1029" t="n">
        <v>0</v>
      </c>
      <c r="D1029" t="n">
        <v>1227.670986889335</v>
      </c>
      <c r="E1029">
        <f>C1029&lt;0.05</f>
        <v/>
      </c>
      <c r="F1029">
        <f>A1029=$B$5</f>
        <v/>
      </c>
      <c r="G1029">
        <f>IF(E1029,A1029,10^9)</f>
        <v/>
      </c>
      <c r="H1029">
        <f>IF(E1029,D1029,10^9)</f>
        <v/>
      </c>
    </row>
    <row r="1030">
      <c r="A1030" t="n">
        <v>1022</v>
      </c>
      <c r="B1030" t="n">
        <v>0</v>
      </c>
      <c r="C1030" t="n">
        <v>0</v>
      </c>
      <c r="D1030" t="n">
        <v>1228.670986889335</v>
      </c>
      <c r="E1030">
        <f>C1030&lt;0.05</f>
        <v/>
      </c>
      <c r="F1030">
        <f>A1030=$B$5</f>
        <v/>
      </c>
      <c r="G1030">
        <f>IF(E1030,A1030,10^9)</f>
        <v/>
      </c>
      <c r="H1030">
        <f>IF(E1030,D1030,10^9)</f>
        <v/>
      </c>
    </row>
    <row r="1031">
      <c r="A1031" t="n">
        <v>1023</v>
      </c>
      <c r="B1031" t="n">
        <v>0</v>
      </c>
      <c r="C1031" t="n">
        <v>0</v>
      </c>
      <c r="D1031" t="n">
        <v>1229.670986889335</v>
      </c>
      <c r="E1031">
        <f>C1031&lt;0.05</f>
        <v/>
      </c>
      <c r="F1031">
        <f>A1031=$B$5</f>
        <v/>
      </c>
      <c r="G1031">
        <f>IF(E1031,A1031,10^9)</f>
        <v/>
      </c>
      <c r="H1031">
        <f>IF(E1031,D1031,10^9)</f>
        <v/>
      </c>
    </row>
    <row r="1032">
      <c r="A1032" t="n">
        <v>1024</v>
      </c>
      <c r="B1032" t="n">
        <v>0</v>
      </c>
      <c r="C1032" t="n">
        <v>0</v>
      </c>
      <c r="D1032" t="n">
        <v>1230.670986889335</v>
      </c>
      <c r="E1032">
        <f>C1032&lt;0.05</f>
        <v/>
      </c>
      <c r="F1032">
        <f>A1032=$B$5</f>
        <v/>
      </c>
      <c r="G1032">
        <f>IF(E1032,A1032,10^9)</f>
        <v/>
      </c>
      <c r="H1032">
        <f>IF(E1032,D1032,10^9)</f>
        <v/>
      </c>
    </row>
    <row r="1033">
      <c r="A1033" t="n">
        <v>1025</v>
      </c>
      <c r="B1033" t="n">
        <v>0</v>
      </c>
      <c r="C1033" t="n">
        <v>0</v>
      </c>
      <c r="D1033" t="n">
        <v>1231.670986889335</v>
      </c>
      <c r="E1033">
        <f>C1033&lt;0.05</f>
        <v/>
      </c>
      <c r="F1033">
        <f>A1033=$B$5</f>
        <v/>
      </c>
      <c r="G1033">
        <f>IF(E1033,A1033,10^9)</f>
        <v/>
      </c>
      <c r="H1033">
        <f>IF(E1033,D1033,10^9)</f>
        <v/>
      </c>
    </row>
    <row r="1034">
      <c r="A1034" t="n">
        <v>1026</v>
      </c>
      <c r="B1034" t="n">
        <v>0</v>
      </c>
      <c r="C1034" t="n">
        <v>0</v>
      </c>
      <c r="D1034" t="n">
        <v>1232.670986889335</v>
      </c>
      <c r="E1034">
        <f>C1034&lt;0.05</f>
        <v/>
      </c>
      <c r="F1034">
        <f>A1034=$B$5</f>
        <v/>
      </c>
      <c r="G1034">
        <f>IF(E1034,A1034,10^9)</f>
        <v/>
      </c>
      <c r="H1034">
        <f>IF(E1034,D1034,10^9)</f>
        <v/>
      </c>
    </row>
    <row r="1035">
      <c r="A1035" t="n">
        <v>1027</v>
      </c>
      <c r="B1035" t="n">
        <v>0</v>
      </c>
      <c r="C1035" t="n">
        <v>0</v>
      </c>
      <c r="D1035" t="n">
        <v>1233.670986889335</v>
      </c>
      <c r="E1035">
        <f>C1035&lt;0.05</f>
        <v/>
      </c>
      <c r="F1035">
        <f>A1035=$B$5</f>
        <v/>
      </c>
      <c r="G1035">
        <f>IF(E1035,A1035,10^9)</f>
        <v/>
      </c>
      <c r="H1035">
        <f>IF(E1035,D1035,10^9)</f>
        <v/>
      </c>
    </row>
    <row r="1036">
      <c r="A1036" t="n">
        <v>1028</v>
      </c>
      <c r="B1036" t="n">
        <v>0</v>
      </c>
      <c r="C1036" t="n">
        <v>0</v>
      </c>
      <c r="D1036" t="n">
        <v>1234.670986889335</v>
      </c>
      <c r="E1036">
        <f>C1036&lt;0.05</f>
        <v/>
      </c>
      <c r="F1036">
        <f>A1036=$B$5</f>
        <v/>
      </c>
      <c r="G1036">
        <f>IF(E1036,A1036,10^9)</f>
        <v/>
      </c>
      <c r="H1036">
        <f>IF(E1036,D1036,10^9)</f>
        <v/>
      </c>
    </row>
    <row r="1037">
      <c r="A1037" t="n">
        <v>1029</v>
      </c>
      <c r="B1037" t="n">
        <v>0</v>
      </c>
      <c r="C1037" t="n">
        <v>0</v>
      </c>
      <c r="D1037" t="n">
        <v>1235.670986889335</v>
      </c>
      <c r="E1037">
        <f>C1037&lt;0.05</f>
        <v/>
      </c>
      <c r="F1037">
        <f>A1037=$B$5</f>
        <v/>
      </c>
      <c r="G1037">
        <f>IF(E1037,A1037,10^9)</f>
        <v/>
      </c>
      <c r="H1037">
        <f>IF(E1037,D1037,10^9)</f>
        <v/>
      </c>
    </row>
    <row r="1038">
      <c r="A1038" t="n">
        <v>1030</v>
      </c>
      <c r="B1038" t="n">
        <v>0</v>
      </c>
      <c r="C1038" t="n">
        <v>0</v>
      </c>
      <c r="D1038" t="n">
        <v>1236.670986889335</v>
      </c>
      <c r="E1038">
        <f>C1038&lt;0.05</f>
        <v/>
      </c>
      <c r="F1038">
        <f>A1038=$B$5</f>
        <v/>
      </c>
      <c r="G1038">
        <f>IF(E1038,A1038,10^9)</f>
        <v/>
      </c>
      <c r="H1038">
        <f>IF(E1038,D1038,10^9)</f>
        <v/>
      </c>
    </row>
    <row r="1039">
      <c r="A1039" t="n">
        <v>1031</v>
      </c>
      <c r="B1039" t="n">
        <v>0</v>
      </c>
      <c r="C1039" t="n">
        <v>0</v>
      </c>
      <c r="D1039" t="n">
        <v>1237.670986889335</v>
      </c>
      <c r="E1039">
        <f>C1039&lt;0.05</f>
        <v/>
      </c>
      <c r="F1039">
        <f>A1039=$B$5</f>
        <v/>
      </c>
      <c r="G1039">
        <f>IF(E1039,A1039,10^9)</f>
        <v/>
      </c>
      <c r="H1039">
        <f>IF(E1039,D1039,10^9)</f>
        <v/>
      </c>
    </row>
    <row r="1040">
      <c r="A1040" t="n">
        <v>1032</v>
      </c>
      <c r="B1040" t="n">
        <v>0</v>
      </c>
      <c r="C1040" t="n">
        <v>0</v>
      </c>
      <c r="D1040" t="n">
        <v>1238.670986889335</v>
      </c>
      <c r="E1040">
        <f>C1040&lt;0.05</f>
        <v/>
      </c>
      <c r="F1040">
        <f>A1040=$B$5</f>
        <v/>
      </c>
      <c r="G1040">
        <f>IF(E1040,A1040,10^9)</f>
        <v/>
      </c>
      <c r="H1040">
        <f>IF(E1040,D1040,10^9)</f>
        <v/>
      </c>
    </row>
    <row r="1041">
      <c r="A1041" t="n">
        <v>1033</v>
      </c>
      <c r="B1041" t="n">
        <v>0</v>
      </c>
      <c r="C1041" t="n">
        <v>0</v>
      </c>
      <c r="D1041" t="n">
        <v>1239.670986889335</v>
      </c>
      <c r="E1041">
        <f>C1041&lt;0.05</f>
        <v/>
      </c>
      <c r="F1041">
        <f>A1041=$B$5</f>
        <v/>
      </c>
      <c r="G1041">
        <f>IF(E1041,A1041,10^9)</f>
        <v/>
      </c>
      <c r="H1041">
        <f>IF(E1041,D1041,10^9)</f>
        <v/>
      </c>
    </row>
    <row r="1042">
      <c r="A1042" t="n">
        <v>1034</v>
      </c>
      <c r="B1042" t="n">
        <v>0</v>
      </c>
      <c r="C1042" t="n">
        <v>0</v>
      </c>
      <c r="D1042" t="n">
        <v>1240.670986889335</v>
      </c>
      <c r="E1042">
        <f>C1042&lt;0.05</f>
        <v/>
      </c>
      <c r="F1042">
        <f>A1042=$B$5</f>
        <v/>
      </c>
      <c r="G1042">
        <f>IF(E1042,A1042,10^9)</f>
        <v/>
      </c>
      <c r="H1042">
        <f>IF(E1042,D1042,10^9)</f>
        <v/>
      </c>
    </row>
    <row r="1043">
      <c r="A1043" t="n">
        <v>1035</v>
      </c>
      <c r="B1043" t="n">
        <v>0</v>
      </c>
      <c r="C1043" t="n">
        <v>0</v>
      </c>
      <c r="D1043" t="n">
        <v>1241.670986889335</v>
      </c>
      <c r="E1043">
        <f>C1043&lt;0.05</f>
        <v/>
      </c>
      <c r="F1043">
        <f>A1043=$B$5</f>
        <v/>
      </c>
      <c r="G1043">
        <f>IF(E1043,A1043,10^9)</f>
        <v/>
      </c>
      <c r="H1043">
        <f>IF(E1043,D1043,10^9)</f>
        <v/>
      </c>
    </row>
    <row r="1044">
      <c r="A1044" t="n">
        <v>1036</v>
      </c>
      <c r="B1044" t="n">
        <v>0</v>
      </c>
      <c r="C1044" t="n">
        <v>0</v>
      </c>
      <c r="D1044" t="n">
        <v>1242.670986889335</v>
      </c>
      <c r="E1044">
        <f>C1044&lt;0.05</f>
        <v/>
      </c>
      <c r="F1044">
        <f>A1044=$B$5</f>
        <v/>
      </c>
      <c r="G1044">
        <f>IF(E1044,A1044,10^9)</f>
        <v/>
      </c>
      <c r="H1044">
        <f>IF(E1044,D1044,10^9)</f>
        <v/>
      </c>
    </row>
    <row r="1045">
      <c r="A1045" t="n">
        <v>1037</v>
      </c>
      <c r="B1045" t="n">
        <v>0</v>
      </c>
      <c r="C1045" t="n">
        <v>0</v>
      </c>
      <c r="D1045" t="n">
        <v>1243.670986889335</v>
      </c>
      <c r="E1045">
        <f>C1045&lt;0.05</f>
        <v/>
      </c>
      <c r="F1045">
        <f>A1045=$B$5</f>
        <v/>
      </c>
      <c r="G1045">
        <f>IF(E1045,A1045,10^9)</f>
        <v/>
      </c>
      <c r="H1045">
        <f>IF(E1045,D1045,10^9)</f>
        <v/>
      </c>
    </row>
    <row r="1046">
      <c r="A1046" t="n">
        <v>1038</v>
      </c>
      <c r="B1046" t="n">
        <v>0</v>
      </c>
      <c r="C1046" t="n">
        <v>0</v>
      </c>
      <c r="D1046" t="n">
        <v>1244.670986889335</v>
      </c>
      <c r="E1046">
        <f>C1046&lt;0.05</f>
        <v/>
      </c>
      <c r="F1046">
        <f>A1046=$B$5</f>
        <v/>
      </c>
      <c r="G1046">
        <f>IF(E1046,A1046,10^9)</f>
        <v/>
      </c>
      <c r="H1046">
        <f>IF(E1046,D1046,10^9)</f>
        <v/>
      </c>
    </row>
    <row r="1047">
      <c r="A1047" t="n">
        <v>1039</v>
      </c>
      <c r="B1047" t="n">
        <v>0</v>
      </c>
      <c r="C1047" t="n">
        <v>0</v>
      </c>
      <c r="D1047" t="n">
        <v>1245.670986889335</v>
      </c>
      <c r="E1047">
        <f>C1047&lt;0.05</f>
        <v/>
      </c>
      <c r="F1047">
        <f>A1047=$B$5</f>
        <v/>
      </c>
      <c r="G1047">
        <f>IF(E1047,A1047,10^9)</f>
        <v/>
      </c>
      <c r="H1047">
        <f>IF(E1047,D1047,10^9)</f>
        <v/>
      </c>
    </row>
    <row r="1048">
      <c r="A1048" t="n">
        <v>1040</v>
      </c>
      <c r="B1048" t="n">
        <v>0</v>
      </c>
      <c r="C1048" t="n">
        <v>0</v>
      </c>
      <c r="D1048" t="n">
        <v>1246.670986889335</v>
      </c>
      <c r="E1048">
        <f>C1048&lt;0.05</f>
        <v/>
      </c>
      <c r="F1048">
        <f>A1048=$B$5</f>
        <v/>
      </c>
      <c r="G1048">
        <f>IF(E1048,A1048,10^9)</f>
        <v/>
      </c>
      <c r="H1048">
        <f>IF(E1048,D1048,10^9)</f>
        <v/>
      </c>
    </row>
    <row r="1049">
      <c r="A1049" t="n">
        <v>1041</v>
      </c>
      <c r="B1049" t="n">
        <v>0</v>
      </c>
      <c r="C1049" t="n">
        <v>0</v>
      </c>
      <c r="D1049" t="n">
        <v>1247.670986889335</v>
      </c>
      <c r="E1049">
        <f>C1049&lt;0.05</f>
        <v/>
      </c>
      <c r="F1049">
        <f>A1049=$B$5</f>
        <v/>
      </c>
      <c r="G1049">
        <f>IF(E1049,A1049,10^9)</f>
        <v/>
      </c>
      <c r="H1049">
        <f>IF(E1049,D1049,10^9)</f>
        <v/>
      </c>
    </row>
    <row r="1050">
      <c r="A1050" t="n">
        <v>1042</v>
      </c>
      <c r="B1050" t="n">
        <v>0</v>
      </c>
      <c r="C1050" t="n">
        <v>0</v>
      </c>
      <c r="D1050" t="n">
        <v>1248.670986889335</v>
      </c>
      <c r="E1050">
        <f>C1050&lt;0.05</f>
        <v/>
      </c>
      <c r="F1050">
        <f>A1050=$B$5</f>
        <v/>
      </c>
      <c r="G1050">
        <f>IF(E1050,A1050,10^9)</f>
        <v/>
      </c>
      <c r="H1050">
        <f>IF(E1050,D1050,10^9)</f>
        <v/>
      </c>
    </row>
    <row r="1051">
      <c r="A1051" t="n">
        <v>1043</v>
      </c>
      <c r="B1051" t="n">
        <v>0</v>
      </c>
      <c r="C1051" t="n">
        <v>0</v>
      </c>
      <c r="D1051" t="n">
        <v>1249.670986889335</v>
      </c>
      <c r="E1051">
        <f>C1051&lt;0.05</f>
        <v/>
      </c>
      <c r="F1051">
        <f>A1051=$B$5</f>
        <v/>
      </c>
      <c r="G1051">
        <f>IF(E1051,A1051,10^9)</f>
        <v/>
      </c>
      <c r="H1051">
        <f>IF(E1051,D1051,10^9)</f>
        <v/>
      </c>
    </row>
    <row r="1052">
      <c r="A1052" t="n">
        <v>1044</v>
      </c>
      <c r="B1052" t="n">
        <v>0</v>
      </c>
      <c r="C1052" t="n">
        <v>0</v>
      </c>
      <c r="D1052" t="n">
        <v>1250.670986889335</v>
      </c>
      <c r="E1052">
        <f>C1052&lt;0.05</f>
        <v/>
      </c>
      <c r="F1052">
        <f>A1052=$B$5</f>
        <v/>
      </c>
      <c r="G1052">
        <f>IF(E1052,A1052,10^9)</f>
        <v/>
      </c>
      <c r="H1052">
        <f>IF(E1052,D1052,10^9)</f>
        <v/>
      </c>
    </row>
    <row r="1053">
      <c r="A1053" t="n">
        <v>1045</v>
      </c>
      <c r="B1053" t="n">
        <v>0</v>
      </c>
      <c r="C1053" t="n">
        <v>0</v>
      </c>
      <c r="D1053" t="n">
        <v>1251.670986889335</v>
      </c>
      <c r="E1053">
        <f>C1053&lt;0.05</f>
        <v/>
      </c>
      <c r="F1053">
        <f>A1053=$B$5</f>
        <v/>
      </c>
      <c r="G1053">
        <f>IF(E1053,A1053,10^9)</f>
        <v/>
      </c>
      <c r="H1053">
        <f>IF(E1053,D1053,10^9)</f>
        <v/>
      </c>
    </row>
    <row r="1054">
      <c r="A1054" t="n">
        <v>1046</v>
      </c>
      <c r="B1054" t="n">
        <v>0</v>
      </c>
      <c r="C1054" t="n">
        <v>0</v>
      </c>
      <c r="D1054" t="n">
        <v>1252.670986889335</v>
      </c>
      <c r="E1054">
        <f>C1054&lt;0.05</f>
        <v/>
      </c>
      <c r="F1054">
        <f>A1054=$B$5</f>
        <v/>
      </c>
      <c r="G1054">
        <f>IF(E1054,A1054,10^9)</f>
        <v/>
      </c>
      <c r="H1054">
        <f>IF(E1054,D1054,10^9)</f>
        <v/>
      </c>
    </row>
    <row r="1055">
      <c r="A1055" t="n">
        <v>1047</v>
      </c>
      <c r="B1055" t="n">
        <v>0</v>
      </c>
      <c r="C1055" t="n">
        <v>0</v>
      </c>
      <c r="D1055" t="n">
        <v>1253.670986889335</v>
      </c>
      <c r="E1055">
        <f>C1055&lt;0.05</f>
        <v/>
      </c>
      <c r="F1055">
        <f>A1055=$B$5</f>
        <v/>
      </c>
      <c r="G1055">
        <f>IF(E1055,A1055,10^9)</f>
        <v/>
      </c>
      <c r="H1055">
        <f>IF(E1055,D1055,10^9)</f>
        <v/>
      </c>
    </row>
    <row r="1056">
      <c r="A1056" t="n">
        <v>1048</v>
      </c>
      <c r="B1056" t="n">
        <v>0</v>
      </c>
      <c r="C1056" t="n">
        <v>0</v>
      </c>
      <c r="D1056" t="n">
        <v>1254.670986889335</v>
      </c>
      <c r="E1056">
        <f>C1056&lt;0.05</f>
        <v/>
      </c>
      <c r="F1056">
        <f>A1056=$B$5</f>
        <v/>
      </c>
      <c r="G1056">
        <f>IF(E1056,A1056,10^9)</f>
        <v/>
      </c>
      <c r="H1056">
        <f>IF(E1056,D1056,10^9)</f>
        <v/>
      </c>
    </row>
    <row r="1057">
      <c r="A1057" t="n">
        <v>1049</v>
      </c>
      <c r="B1057" t="n">
        <v>0</v>
      </c>
      <c r="C1057" t="n">
        <v>0</v>
      </c>
      <c r="D1057" t="n">
        <v>1255.670986889335</v>
      </c>
      <c r="E1057">
        <f>C1057&lt;0.05</f>
        <v/>
      </c>
      <c r="F1057">
        <f>A1057=$B$5</f>
        <v/>
      </c>
      <c r="G1057">
        <f>IF(E1057,A1057,10^9)</f>
        <v/>
      </c>
      <c r="H1057">
        <f>IF(E1057,D1057,10^9)</f>
        <v/>
      </c>
    </row>
    <row r="1058">
      <c r="A1058" t="n">
        <v>1050</v>
      </c>
      <c r="B1058" t="n">
        <v>0</v>
      </c>
      <c r="C1058" t="n">
        <v>0</v>
      </c>
      <c r="D1058" t="n">
        <v>1256.670986889335</v>
      </c>
      <c r="E1058">
        <f>C1058&lt;0.05</f>
        <v/>
      </c>
      <c r="F1058">
        <f>A1058=$B$5</f>
        <v/>
      </c>
      <c r="G1058">
        <f>IF(E1058,A1058,10^9)</f>
        <v/>
      </c>
      <c r="H1058">
        <f>IF(E1058,D1058,10^9)</f>
        <v/>
      </c>
    </row>
    <row r="1059">
      <c r="A1059" t="n">
        <v>1051</v>
      </c>
      <c r="B1059" t="n">
        <v>0</v>
      </c>
      <c r="C1059" t="n">
        <v>0</v>
      </c>
      <c r="D1059" t="n">
        <v>1257.670986889335</v>
      </c>
      <c r="E1059">
        <f>C1059&lt;0.05</f>
        <v/>
      </c>
      <c r="F1059">
        <f>A1059=$B$5</f>
        <v/>
      </c>
      <c r="G1059">
        <f>IF(E1059,A1059,10^9)</f>
        <v/>
      </c>
      <c r="H1059">
        <f>IF(E1059,D1059,10^9)</f>
        <v/>
      </c>
    </row>
    <row r="1060">
      <c r="A1060" t="n">
        <v>1052</v>
      </c>
      <c r="B1060" t="n">
        <v>0</v>
      </c>
      <c r="C1060" t="n">
        <v>0</v>
      </c>
      <c r="D1060" t="n">
        <v>1258.670986889335</v>
      </c>
      <c r="E1060">
        <f>C1060&lt;0.05</f>
        <v/>
      </c>
      <c r="F1060">
        <f>A1060=$B$5</f>
        <v/>
      </c>
      <c r="G1060">
        <f>IF(E1060,A1060,10^9)</f>
        <v/>
      </c>
      <c r="H1060">
        <f>IF(E1060,D1060,10^9)</f>
        <v/>
      </c>
    </row>
    <row r="1061">
      <c r="A1061" t="n">
        <v>1053</v>
      </c>
      <c r="B1061" t="n">
        <v>0</v>
      </c>
      <c r="C1061" t="n">
        <v>0</v>
      </c>
      <c r="D1061" t="n">
        <v>1259.670986889335</v>
      </c>
      <c r="E1061">
        <f>C1061&lt;0.05</f>
        <v/>
      </c>
      <c r="F1061">
        <f>A1061=$B$5</f>
        <v/>
      </c>
      <c r="G1061">
        <f>IF(E1061,A1061,10^9)</f>
        <v/>
      </c>
      <c r="H1061">
        <f>IF(E1061,D1061,10^9)</f>
        <v/>
      </c>
    </row>
    <row r="1062">
      <c r="A1062" t="n">
        <v>1054</v>
      </c>
      <c r="B1062" t="n">
        <v>0</v>
      </c>
      <c r="C1062" t="n">
        <v>0</v>
      </c>
      <c r="D1062" t="n">
        <v>1260.670986889335</v>
      </c>
      <c r="E1062">
        <f>C1062&lt;0.05</f>
        <v/>
      </c>
      <c r="F1062">
        <f>A1062=$B$5</f>
        <v/>
      </c>
      <c r="G1062">
        <f>IF(E1062,A1062,10^9)</f>
        <v/>
      </c>
      <c r="H1062">
        <f>IF(E1062,D1062,10^9)</f>
        <v/>
      </c>
    </row>
    <row r="1063">
      <c r="A1063" t="n">
        <v>1055</v>
      </c>
      <c r="B1063" t="n">
        <v>0</v>
      </c>
      <c r="C1063" t="n">
        <v>0</v>
      </c>
      <c r="D1063" t="n">
        <v>1261.670986889335</v>
      </c>
      <c r="E1063">
        <f>C1063&lt;0.05</f>
        <v/>
      </c>
      <c r="F1063">
        <f>A1063=$B$5</f>
        <v/>
      </c>
      <c r="G1063">
        <f>IF(E1063,A1063,10^9)</f>
        <v/>
      </c>
      <c r="H1063">
        <f>IF(E1063,D1063,10^9)</f>
        <v/>
      </c>
    </row>
    <row r="1064">
      <c r="A1064" t="n">
        <v>1056</v>
      </c>
      <c r="B1064" t="n">
        <v>0</v>
      </c>
      <c r="C1064" t="n">
        <v>0</v>
      </c>
      <c r="D1064" t="n">
        <v>1262.670986889335</v>
      </c>
      <c r="E1064">
        <f>C1064&lt;0.05</f>
        <v/>
      </c>
      <c r="F1064">
        <f>A1064=$B$5</f>
        <v/>
      </c>
      <c r="G1064">
        <f>IF(E1064,A1064,10^9)</f>
        <v/>
      </c>
      <c r="H1064">
        <f>IF(E1064,D1064,10^9)</f>
        <v/>
      </c>
    </row>
    <row r="1065">
      <c r="A1065" t="n">
        <v>1057</v>
      </c>
      <c r="B1065" t="n">
        <v>0</v>
      </c>
      <c r="C1065" t="n">
        <v>0</v>
      </c>
      <c r="D1065" t="n">
        <v>1263.670986889335</v>
      </c>
      <c r="E1065">
        <f>C1065&lt;0.05</f>
        <v/>
      </c>
      <c r="F1065">
        <f>A1065=$B$5</f>
        <v/>
      </c>
      <c r="G1065">
        <f>IF(E1065,A1065,10^9)</f>
        <v/>
      </c>
      <c r="H1065">
        <f>IF(E1065,D1065,10^9)</f>
        <v/>
      </c>
    </row>
    <row r="1066">
      <c r="A1066" t="n">
        <v>1058</v>
      </c>
      <c r="B1066" t="n">
        <v>0</v>
      </c>
      <c r="C1066" t="n">
        <v>0</v>
      </c>
      <c r="D1066" t="n">
        <v>1264.670986889335</v>
      </c>
      <c r="E1066">
        <f>C1066&lt;0.05</f>
        <v/>
      </c>
      <c r="F1066">
        <f>A1066=$B$5</f>
        <v/>
      </c>
      <c r="G1066">
        <f>IF(E1066,A1066,10^9)</f>
        <v/>
      </c>
      <c r="H1066">
        <f>IF(E1066,D1066,10^9)</f>
        <v/>
      </c>
    </row>
    <row r="1067">
      <c r="A1067" t="n">
        <v>1059</v>
      </c>
      <c r="B1067" t="n">
        <v>0</v>
      </c>
      <c r="C1067" t="n">
        <v>0</v>
      </c>
      <c r="D1067" t="n">
        <v>1265.670986889335</v>
      </c>
      <c r="E1067">
        <f>C1067&lt;0.05</f>
        <v/>
      </c>
      <c r="F1067">
        <f>A1067=$B$5</f>
        <v/>
      </c>
      <c r="G1067">
        <f>IF(E1067,A1067,10^9)</f>
        <v/>
      </c>
      <c r="H1067">
        <f>IF(E1067,D1067,10^9)</f>
        <v/>
      </c>
    </row>
    <row r="1068">
      <c r="A1068" t="n">
        <v>1060</v>
      </c>
      <c r="B1068" t="n">
        <v>0</v>
      </c>
      <c r="C1068" t="n">
        <v>0</v>
      </c>
      <c r="D1068" t="n">
        <v>1266.670986889335</v>
      </c>
      <c r="E1068">
        <f>C1068&lt;0.05</f>
        <v/>
      </c>
      <c r="F1068">
        <f>A1068=$B$5</f>
        <v/>
      </c>
      <c r="G1068">
        <f>IF(E1068,A1068,10^9)</f>
        <v/>
      </c>
      <c r="H1068">
        <f>IF(E1068,D1068,10^9)</f>
        <v/>
      </c>
    </row>
    <row r="1069">
      <c r="A1069" t="n">
        <v>1061</v>
      </c>
      <c r="B1069" t="n">
        <v>0</v>
      </c>
      <c r="C1069" t="n">
        <v>0</v>
      </c>
      <c r="D1069" t="n">
        <v>1267.670986889335</v>
      </c>
      <c r="E1069">
        <f>C1069&lt;0.05</f>
        <v/>
      </c>
      <c r="F1069">
        <f>A1069=$B$5</f>
        <v/>
      </c>
      <c r="G1069">
        <f>IF(E1069,A1069,10^9)</f>
        <v/>
      </c>
      <c r="H1069">
        <f>IF(E1069,D1069,10^9)</f>
        <v/>
      </c>
    </row>
    <row r="1070">
      <c r="A1070" t="n">
        <v>1062</v>
      </c>
      <c r="B1070" t="n">
        <v>0</v>
      </c>
      <c r="C1070" t="n">
        <v>0</v>
      </c>
      <c r="D1070" t="n">
        <v>1268.670986889335</v>
      </c>
      <c r="E1070">
        <f>C1070&lt;0.05</f>
        <v/>
      </c>
      <c r="F1070">
        <f>A1070=$B$5</f>
        <v/>
      </c>
      <c r="G1070">
        <f>IF(E1070,A1070,10^9)</f>
        <v/>
      </c>
      <c r="H1070">
        <f>IF(E1070,D1070,10^9)</f>
        <v/>
      </c>
    </row>
    <row r="1071">
      <c r="A1071" t="n">
        <v>1063</v>
      </c>
      <c r="B1071" t="n">
        <v>0</v>
      </c>
      <c r="C1071" t="n">
        <v>0</v>
      </c>
      <c r="D1071" t="n">
        <v>1269.670986889335</v>
      </c>
      <c r="E1071">
        <f>C1071&lt;0.05</f>
        <v/>
      </c>
      <c r="F1071">
        <f>A1071=$B$5</f>
        <v/>
      </c>
      <c r="G1071">
        <f>IF(E1071,A1071,10^9)</f>
        <v/>
      </c>
      <c r="H1071">
        <f>IF(E1071,D1071,10^9)</f>
        <v/>
      </c>
    </row>
    <row r="1072">
      <c r="A1072" t="n">
        <v>1064</v>
      </c>
      <c r="B1072" t="n">
        <v>0</v>
      </c>
      <c r="C1072" t="n">
        <v>0</v>
      </c>
      <c r="D1072" t="n">
        <v>1270.670986889335</v>
      </c>
      <c r="E1072">
        <f>C1072&lt;0.05</f>
        <v/>
      </c>
      <c r="F1072">
        <f>A1072=$B$5</f>
        <v/>
      </c>
      <c r="G1072">
        <f>IF(E1072,A1072,10^9)</f>
        <v/>
      </c>
      <c r="H1072">
        <f>IF(E1072,D1072,10^9)</f>
        <v/>
      </c>
    </row>
    <row r="1073">
      <c r="A1073" t="n">
        <v>1065</v>
      </c>
      <c r="B1073" t="n">
        <v>0</v>
      </c>
      <c r="C1073" t="n">
        <v>0</v>
      </c>
      <c r="D1073" t="n">
        <v>1271.670986889335</v>
      </c>
      <c r="E1073">
        <f>C1073&lt;0.05</f>
        <v/>
      </c>
      <c r="F1073">
        <f>A1073=$B$5</f>
        <v/>
      </c>
      <c r="G1073">
        <f>IF(E1073,A1073,10^9)</f>
        <v/>
      </c>
      <c r="H1073">
        <f>IF(E1073,D1073,10^9)</f>
        <v/>
      </c>
    </row>
    <row r="1074">
      <c r="A1074" t="n">
        <v>1066</v>
      </c>
      <c r="B1074" t="n">
        <v>0</v>
      </c>
      <c r="C1074" t="n">
        <v>0</v>
      </c>
      <c r="D1074" t="n">
        <v>1272.670986889335</v>
      </c>
      <c r="E1074">
        <f>C1074&lt;0.05</f>
        <v/>
      </c>
      <c r="F1074">
        <f>A1074=$B$5</f>
        <v/>
      </c>
      <c r="G1074">
        <f>IF(E1074,A1074,10^9)</f>
        <v/>
      </c>
      <c r="H1074">
        <f>IF(E1074,D1074,10^9)</f>
        <v/>
      </c>
    </row>
    <row r="1075">
      <c r="A1075" t="n">
        <v>1067</v>
      </c>
      <c r="B1075" t="n">
        <v>0</v>
      </c>
      <c r="C1075" t="n">
        <v>0</v>
      </c>
      <c r="D1075" t="n">
        <v>1273.670986889335</v>
      </c>
      <c r="E1075">
        <f>C1075&lt;0.05</f>
        <v/>
      </c>
      <c r="F1075">
        <f>A1075=$B$5</f>
        <v/>
      </c>
      <c r="G1075">
        <f>IF(E1075,A1075,10^9)</f>
        <v/>
      </c>
      <c r="H1075">
        <f>IF(E1075,D1075,10^9)</f>
        <v/>
      </c>
    </row>
    <row r="1076">
      <c r="A1076" t="n">
        <v>1068</v>
      </c>
      <c r="B1076" t="n">
        <v>0</v>
      </c>
      <c r="C1076" t="n">
        <v>0</v>
      </c>
      <c r="D1076" t="n">
        <v>1274.670986889335</v>
      </c>
      <c r="E1076">
        <f>C1076&lt;0.05</f>
        <v/>
      </c>
      <c r="F1076">
        <f>A1076=$B$5</f>
        <v/>
      </c>
      <c r="G1076">
        <f>IF(E1076,A1076,10^9)</f>
        <v/>
      </c>
      <c r="H1076">
        <f>IF(E1076,D1076,10^9)</f>
        <v/>
      </c>
    </row>
    <row r="1077">
      <c r="A1077" t="n">
        <v>1069</v>
      </c>
      <c r="B1077" t="n">
        <v>0</v>
      </c>
      <c r="C1077" t="n">
        <v>0</v>
      </c>
      <c r="D1077" t="n">
        <v>1275.670986889335</v>
      </c>
      <c r="E1077">
        <f>C1077&lt;0.05</f>
        <v/>
      </c>
      <c r="F1077">
        <f>A1077=$B$5</f>
        <v/>
      </c>
      <c r="G1077">
        <f>IF(E1077,A1077,10^9)</f>
        <v/>
      </c>
      <c r="H1077">
        <f>IF(E1077,D1077,10^9)</f>
        <v/>
      </c>
    </row>
    <row r="1078">
      <c r="A1078" t="n">
        <v>1070</v>
      </c>
      <c r="B1078" t="n">
        <v>0</v>
      </c>
      <c r="C1078" t="n">
        <v>0</v>
      </c>
      <c r="D1078" t="n">
        <v>1276.670986889335</v>
      </c>
      <c r="E1078">
        <f>C1078&lt;0.05</f>
        <v/>
      </c>
      <c r="F1078">
        <f>A1078=$B$5</f>
        <v/>
      </c>
      <c r="G1078">
        <f>IF(E1078,A1078,10^9)</f>
        <v/>
      </c>
      <c r="H1078">
        <f>IF(E1078,D1078,10^9)</f>
        <v/>
      </c>
    </row>
    <row r="1079">
      <c r="A1079" t="n">
        <v>1071</v>
      </c>
      <c r="B1079" t="n">
        <v>0</v>
      </c>
      <c r="C1079" t="n">
        <v>0</v>
      </c>
      <c r="D1079" t="n">
        <v>1277.670986889335</v>
      </c>
      <c r="E1079">
        <f>C1079&lt;0.05</f>
        <v/>
      </c>
      <c r="F1079">
        <f>A1079=$B$5</f>
        <v/>
      </c>
      <c r="G1079">
        <f>IF(E1079,A1079,10^9)</f>
        <v/>
      </c>
      <c r="H1079">
        <f>IF(E1079,D1079,10^9)</f>
        <v/>
      </c>
    </row>
    <row r="1080">
      <c r="A1080" t="n">
        <v>1072</v>
      </c>
      <c r="B1080" t="n">
        <v>0</v>
      </c>
      <c r="C1080" t="n">
        <v>0</v>
      </c>
      <c r="D1080" t="n">
        <v>1278.670986889335</v>
      </c>
      <c r="E1080">
        <f>C1080&lt;0.05</f>
        <v/>
      </c>
      <c r="F1080">
        <f>A1080=$B$5</f>
        <v/>
      </c>
      <c r="G1080">
        <f>IF(E1080,A1080,10^9)</f>
        <v/>
      </c>
      <c r="H1080">
        <f>IF(E1080,D1080,10^9)</f>
        <v/>
      </c>
    </row>
    <row r="1081">
      <c r="A1081" t="n">
        <v>1073</v>
      </c>
      <c r="B1081" t="n">
        <v>0</v>
      </c>
      <c r="C1081" t="n">
        <v>0</v>
      </c>
      <c r="D1081" t="n">
        <v>1279.670986889335</v>
      </c>
      <c r="E1081">
        <f>C1081&lt;0.05</f>
        <v/>
      </c>
      <c r="F1081">
        <f>A1081=$B$5</f>
        <v/>
      </c>
      <c r="G1081">
        <f>IF(E1081,A1081,10^9)</f>
        <v/>
      </c>
      <c r="H1081">
        <f>IF(E1081,D1081,10^9)</f>
        <v/>
      </c>
    </row>
    <row r="1082">
      <c r="A1082" t="n">
        <v>1074</v>
      </c>
      <c r="B1082" t="n">
        <v>0</v>
      </c>
      <c r="C1082" t="n">
        <v>0</v>
      </c>
      <c r="D1082" t="n">
        <v>1280.670986889335</v>
      </c>
      <c r="E1082">
        <f>C1082&lt;0.05</f>
        <v/>
      </c>
      <c r="F1082">
        <f>A1082=$B$5</f>
        <v/>
      </c>
      <c r="G1082">
        <f>IF(E1082,A1082,10^9)</f>
        <v/>
      </c>
      <c r="H1082">
        <f>IF(E1082,D1082,10^9)</f>
        <v/>
      </c>
    </row>
    <row r="1083">
      <c r="A1083" t="n">
        <v>1075</v>
      </c>
      <c r="B1083" t="n">
        <v>0</v>
      </c>
      <c r="C1083" t="n">
        <v>0</v>
      </c>
      <c r="D1083" t="n">
        <v>1281.670986889335</v>
      </c>
      <c r="E1083">
        <f>C1083&lt;0.05</f>
        <v/>
      </c>
      <c r="F1083">
        <f>A1083=$B$5</f>
        <v/>
      </c>
      <c r="G1083">
        <f>IF(E1083,A1083,10^9)</f>
        <v/>
      </c>
      <c r="H1083">
        <f>IF(E1083,D1083,10^9)</f>
        <v/>
      </c>
    </row>
    <row r="1084">
      <c r="A1084" t="n">
        <v>1076</v>
      </c>
      <c r="B1084" t="n">
        <v>0</v>
      </c>
      <c r="C1084" t="n">
        <v>0</v>
      </c>
      <c r="D1084" t="n">
        <v>1282.670986889335</v>
      </c>
      <c r="E1084">
        <f>C1084&lt;0.05</f>
        <v/>
      </c>
      <c r="F1084">
        <f>A1084=$B$5</f>
        <v/>
      </c>
      <c r="G1084">
        <f>IF(E1084,A1084,10^9)</f>
        <v/>
      </c>
      <c r="H1084">
        <f>IF(E1084,D1084,10^9)</f>
        <v/>
      </c>
    </row>
    <row r="1085">
      <c r="A1085" t="n">
        <v>1077</v>
      </c>
      <c r="B1085" t="n">
        <v>0</v>
      </c>
      <c r="C1085" t="n">
        <v>0</v>
      </c>
      <c r="D1085" t="n">
        <v>1283.670986889335</v>
      </c>
      <c r="E1085">
        <f>C1085&lt;0.05</f>
        <v/>
      </c>
      <c r="F1085">
        <f>A1085=$B$5</f>
        <v/>
      </c>
      <c r="G1085">
        <f>IF(E1085,A1085,10^9)</f>
        <v/>
      </c>
      <c r="H1085">
        <f>IF(E1085,D1085,10^9)</f>
        <v/>
      </c>
    </row>
    <row r="1086">
      <c r="A1086" t="n">
        <v>1078</v>
      </c>
      <c r="B1086" t="n">
        <v>0</v>
      </c>
      <c r="C1086" t="n">
        <v>0</v>
      </c>
      <c r="D1086" t="n">
        <v>1284.670986889335</v>
      </c>
      <c r="E1086">
        <f>C1086&lt;0.05</f>
        <v/>
      </c>
      <c r="F1086">
        <f>A1086=$B$5</f>
        <v/>
      </c>
      <c r="G1086">
        <f>IF(E1086,A1086,10^9)</f>
        <v/>
      </c>
      <c r="H1086">
        <f>IF(E1086,D1086,10^9)</f>
        <v/>
      </c>
    </row>
    <row r="1087">
      <c r="A1087" t="n">
        <v>1079</v>
      </c>
      <c r="B1087" t="n">
        <v>0</v>
      </c>
      <c r="C1087" t="n">
        <v>0</v>
      </c>
      <c r="D1087" t="n">
        <v>1285.670986889335</v>
      </c>
      <c r="E1087">
        <f>C1087&lt;0.05</f>
        <v/>
      </c>
      <c r="F1087">
        <f>A1087=$B$5</f>
        <v/>
      </c>
      <c r="G1087">
        <f>IF(E1087,A1087,10^9)</f>
        <v/>
      </c>
      <c r="H1087">
        <f>IF(E1087,D1087,10^9)</f>
        <v/>
      </c>
    </row>
    <row r="1088">
      <c r="A1088" t="n">
        <v>1080</v>
      </c>
      <c r="B1088" t="n">
        <v>0</v>
      </c>
      <c r="C1088" t="n">
        <v>0</v>
      </c>
      <c r="D1088" t="n">
        <v>1286.670986889335</v>
      </c>
      <c r="E1088">
        <f>C1088&lt;0.05</f>
        <v/>
      </c>
      <c r="F1088">
        <f>A1088=$B$5</f>
        <v/>
      </c>
      <c r="G1088">
        <f>IF(E1088,A1088,10^9)</f>
        <v/>
      </c>
      <c r="H1088">
        <f>IF(E1088,D1088,10^9)</f>
        <v/>
      </c>
    </row>
    <row r="1089">
      <c r="A1089" t="n">
        <v>1081</v>
      </c>
      <c r="B1089" t="n">
        <v>0</v>
      </c>
      <c r="C1089" t="n">
        <v>0</v>
      </c>
      <c r="D1089" t="n">
        <v>1287.670986889335</v>
      </c>
      <c r="E1089">
        <f>C1089&lt;0.05</f>
        <v/>
      </c>
      <c r="F1089">
        <f>A1089=$B$5</f>
        <v/>
      </c>
      <c r="G1089">
        <f>IF(E1089,A1089,10^9)</f>
        <v/>
      </c>
      <c r="H1089">
        <f>IF(E1089,D1089,10^9)</f>
        <v/>
      </c>
    </row>
    <row r="1090">
      <c r="A1090" t="n">
        <v>1082</v>
      </c>
      <c r="B1090" t="n">
        <v>0</v>
      </c>
      <c r="C1090" t="n">
        <v>0</v>
      </c>
      <c r="D1090" t="n">
        <v>1288.670986889335</v>
      </c>
      <c r="E1090">
        <f>C1090&lt;0.05</f>
        <v/>
      </c>
      <c r="F1090">
        <f>A1090=$B$5</f>
        <v/>
      </c>
      <c r="G1090">
        <f>IF(E1090,A1090,10^9)</f>
        <v/>
      </c>
      <c r="H1090">
        <f>IF(E1090,D1090,10^9)</f>
        <v/>
      </c>
    </row>
    <row r="1091">
      <c r="A1091" t="n">
        <v>1083</v>
      </c>
      <c r="B1091" t="n">
        <v>0</v>
      </c>
      <c r="C1091" t="n">
        <v>0</v>
      </c>
      <c r="D1091" t="n">
        <v>1289.670986889335</v>
      </c>
      <c r="E1091">
        <f>C1091&lt;0.05</f>
        <v/>
      </c>
      <c r="F1091">
        <f>A1091=$B$5</f>
        <v/>
      </c>
      <c r="G1091">
        <f>IF(E1091,A1091,10^9)</f>
        <v/>
      </c>
      <c r="H1091">
        <f>IF(E1091,D1091,10^9)</f>
        <v/>
      </c>
    </row>
    <row r="1092">
      <c r="A1092" t="n">
        <v>1084</v>
      </c>
      <c r="B1092" t="n">
        <v>0</v>
      </c>
      <c r="C1092" t="n">
        <v>0</v>
      </c>
      <c r="D1092" t="n">
        <v>1290.670986889335</v>
      </c>
      <c r="E1092">
        <f>C1092&lt;0.05</f>
        <v/>
      </c>
      <c r="F1092">
        <f>A1092=$B$5</f>
        <v/>
      </c>
      <c r="G1092">
        <f>IF(E1092,A1092,10^9)</f>
        <v/>
      </c>
      <c r="H1092">
        <f>IF(E1092,D1092,10^9)</f>
        <v/>
      </c>
    </row>
    <row r="1093">
      <c r="A1093" t="n">
        <v>1085</v>
      </c>
      <c r="B1093" t="n">
        <v>0</v>
      </c>
      <c r="C1093" t="n">
        <v>0</v>
      </c>
      <c r="D1093" t="n">
        <v>1291.670986889335</v>
      </c>
      <c r="E1093">
        <f>C1093&lt;0.05</f>
        <v/>
      </c>
      <c r="F1093">
        <f>A1093=$B$5</f>
        <v/>
      </c>
      <c r="G1093">
        <f>IF(E1093,A1093,10^9)</f>
        <v/>
      </c>
      <c r="H1093">
        <f>IF(E1093,D1093,10^9)</f>
        <v/>
      </c>
    </row>
    <row r="1094">
      <c r="A1094" t="n">
        <v>1086</v>
      </c>
      <c r="B1094" t="n">
        <v>0</v>
      </c>
      <c r="C1094" t="n">
        <v>0</v>
      </c>
      <c r="D1094" t="n">
        <v>1292.670986889335</v>
      </c>
      <c r="E1094">
        <f>C1094&lt;0.05</f>
        <v/>
      </c>
      <c r="F1094">
        <f>A1094=$B$5</f>
        <v/>
      </c>
      <c r="G1094">
        <f>IF(E1094,A1094,10^9)</f>
        <v/>
      </c>
      <c r="H1094">
        <f>IF(E1094,D1094,10^9)</f>
        <v/>
      </c>
    </row>
    <row r="1095">
      <c r="A1095" t="n">
        <v>1087</v>
      </c>
      <c r="B1095" t="n">
        <v>0</v>
      </c>
      <c r="C1095" t="n">
        <v>0</v>
      </c>
      <c r="D1095" t="n">
        <v>1293.670986889335</v>
      </c>
      <c r="E1095">
        <f>C1095&lt;0.05</f>
        <v/>
      </c>
      <c r="F1095">
        <f>A1095=$B$5</f>
        <v/>
      </c>
      <c r="G1095">
        <f>IF(E1095,A1095,10^9)</f>
        <v/>
      </c>
      <c r="H1095">
        <f>IF(E1095,D1095,10^9)</f>
        <v/>
      </c>
    </row>
    <row r="1096">
      <c r="A1096" t="n">
        <v>1088</v>
      </c>
      <c r="B1096" t="n">
        <v>0</v>
      </c>
      <c r="C1096" t="n">
        <v>0</v>
      </c>
      <c r="D1096" t="n">
        <v>1294.670986889335</v>
      </c>
      <c r="E1096">
        <f>C1096&lt;0.05</f>
        <v/>
      </c>
      <c r="F1096">
        <f>A1096=$B$5</f>
        <v/>
      </c>
      <c r="G1096">
        <f>IF(E1096,A1096,10^9)</f>
        <v/>
      </c>
      <c r="H1096">
        <f>IF(E1096,D1096,10^9)</f>
        <v/>
      </c>
    </row>
    <row r="1097">
      <c r="A1097" t="n">
        <v>1089</v>
      </c>
      <c r="B1097" t="n">
        <v>0</v>
      </c>
      <c r="C1097" t="n">
        <v>0</v>
      </c>
      <c r="D1097" t="n">
        <v>1295.670986889335</v>
      </c>
      <c r="E1097">
        <f>C1097&lt;0.05</f>
        <v/>
      </c>
      <c r="F1097">
        <f>A1097=$B$5</f>
        <v/>
      </c>
      <c r="G1097">
        <f>IF(E1097,A1097,10^9)</f>
        <v/>
      </c>
      <c r="H1097">
        <f>IF(E1097,D1097,10^9)</f>
        <v/>
      </c>
    </row>
    <row r="1098">
      <c r="A1098" t="n">
        <v>1090</v>
      </c>
      <c r="B1098" t="n">
        <v>0</v>
      </c>
      <c r="C1098" t="n">
        <v>0</v>
      </c>
      <c r="D1098" t="n">
        <v>1296.670986889335</v>
      </c>
      <c r="E1098">
        <f>C1098&lt;0.05</f>
        <v/>
      </c>
      <c r="F1098">
        <f>A1098=$B$5</f>
        <v/>
      </c>
      <c r="G1098">
        <f>IF(E1098,A1098,10^9)</f>
        <v/>
      </c>
      <c r="H1098">
        <f>IF(E1098,D1098,10^9)</f>
        <v/>
      </c>
    </row>
    <row r="1099">
      <c r="A1099" t="n">
        <v>1091</v>
      </c>
      <c r="B1099" t="n">
        <v>0</v>
      </c>
      <c r="C1099" t="n">
        <v>0</v>
      </c>
      <c r="D1099" t="n">
        <v>1297.670986889335</v>
      </c>
      <c r="E1099">
        <f>C1099&lt;0.05</f>
        <v/>
      </c>
      <c r="F1099">
        <f>A1099=$B$5</f>
        <v/>
      </c>
      <c r="G1099">
        <f>IF(E1099,A1099,10^9)</f>
        <v/>
      </c>
      <c r="H1099">
        <f>IF(E1099,D1099,10^9)</f>
        <v/>
      </c>
    </row>
    <row r="1100">
      <c r="A1100" t="n">
        <v>1092</v>
      </c>
      <c r="B1100" t="n">
        <v>0</v>
      </c>
      <c r="C1100" t="n">
        <v>0</v>
      </c>
      <c r="D1100" t="n">
        <v>1298.670986889335</v>
      </c>
      <c r="E1100">
        <f>C1100&lt;0.05</f>
        <v/>
      </c>
      <c r="F1100">
        <f>A1100=$B$5</f>
        <v/>
      </c>
      <c r="G1100">
        <f>IF(E1100,A1100,10^9)</f>
        <v/>
      </c>
      <c r="H1100">
        <f>IF(E1100,D1100,10^9)</f>
        <v/>
      </c>
    </row>
    <row r="1101">
      <c r="A1101" t="n">
        <v>1093</v>
      </c>
      <c r="B1101" t="n">
        <v>0</v>
      </c>
      <c r="C1101" t="n">
        <v>0</v>
      </c>
      <c r="D1101" t="n">
        <v>1299.670986889335</v>
      </c>
      <c r="E1101">
        <f>C1101&lt;0.05</f>
        <v/>
      </c>
      <c r="F1101">
        <f>A1101=$B$5</f>
        <v/>
      </c>
      <c r="G1101">
        <f>IF(E1101,A1101,10^9)</f>
        <v/>
      </c>
      <c r="H1101">
        <f>IF(E1101,D1101,10^9)</f>
        <v/>
      </c>
    </row>
    <row r="1102">
      <c r="A1102" t="n">
        <v>1094</v>
      </c>
      <c r="B1102" t="n">
        <v>0</v>
      </c>
      <c r="C1102" t="n">
        <v>0</v>
      </c>
      <c r="D1102" t="n">
        <v>1300.670986889335</v>
      </c>
      <c r="E1102">
        <f>C1102&lt;0.05</f>
        <v/>
      </c>
      <c r="F1102">
        <f>A1102=$B$5</f>
        <v/>
      </c>
      <c r="G1102">
        <f>IF(E1102,A1102,10^9)</f>
        <v/>
      </c>
      <c r="H1102">
        <f>IF(E1102,D1102,10^9)</f>
        <v/>
      </c>
    </row>
    <row r="1103">
      <c r="A1103" t="n">
        <v>1095</v>
      </c>
      <c r="B1103" t="n">
        <v>0</v>
      </c>
      <c r="C1103" t="n">
        <v>0</v>
      </c>
      <c r="D1103" t="n">
        <v>1301.670986889335</v>
      </c>
      <c r="E1103">
        <f>C1103&lt;0.05</f>
        <v/>
      </c>
      <c r="F1103">
        <f>A1103=$B$5</f>
        <v/>
      </c>
      <c r="G1103">
        <f>IF(E1103,A1103,10^9)</f>
        <v/>
      </c>
      <c r="H1103">
        <f>IF(E1103,D1103,10^9)</f>
        <v/>
      </c>
    </row>
    <row r="1104">
      <c r="A1104" t="n">
        <v>1096</v>
      </c>
      <c r="B1104" t="n">
        <v>0</v>
      </c>
      <c r="C1104" t="n">
        <v>0</v>
      </c>
      <c r="D1104" t="n">
        <v>1302.670986889335</v>
      </c>
      <c r="E1104">
        <f>C1104&lt;0.05</f>
        <v/>
      </c>
      <c r="F1104">
        <f>A1104=$B$5</f>
        <v/>
      </c>
      <c r="G1104">
        <f>IF(E1104,A1104,10^9)</f>
        <v/>
      </c>
      <c r="H1104">
        <f>IF(E1104,D1104,10^9)</f>
        <v/>
      </c>
    </row>
    <row r="1105">
      <c r="A1105" t="n">
        <v>1097</v>
      </c>
      <c r="B1105" t="n">
        <v>0</v>
      </c>
      <c r="C1105" t="n">
        <v>0</v>
      </c>
      <c r="D1105" t="n">
        <v>1303.670986889335</v>
      </c>
      <c r="E1105">
        <f>C1105&lt;0.05</f>
        <v/>
      </c>
      <c r="F1105">
        <f>A1105=$B$5</f>
        <v/>
      </c>
      <c r="G1105">
        <f>IF(E1105,A1105,10^9)</f>
        <v/>
      </c>
      <c r="H1105">
        <f>IF(E1105,D1105,10^9)</f>
        <v/>
      </c>
    </row>
    <row r="1106">
      <c r="A1106" t="n">
        <v>1098</v>
      </c>
      <c r="B1106" t="n">
        <v>0</v>
      </c>
      <c r="C1106" t="n">
        <v>0</v>
      </c>
      <c r="D1106" t="n">
        <v>1304.670986889335</v>
      </c>
      <c r="E1106">
        <f>C1106&lt;0.05</f>
        <v/>
      </c>
      <c r="F1106">
        <f>A1106=$B$5</f>
        <v/>
      </c>
      <c r="G1106">
        <f>IF(E1106,A1106,10^9)</f>
        <v/>
      </c>
      <c r="H1106">
        <f>IF(E1106,D1106,10^9)</f>
        <v/>
      </c>
    </row>
    <row r="1107">
      <c r="A1107" t="n">
        <v>1099</v>
      </c>
      <c r="B1107" t="n">
        <v>0</v>
      </c>
      <c r="C1107" t="n">
        <v>0</v>
      </c>
      <c r="D1107" t="n">
        <v>1305.670986889335</v>
      </c>
      <c r="E1107">
        <f>C1107&lt;0.05</f>
        <v/>
      </c>
      <c r="F1107">
        <f>A1107=$B$5</f>
        <v/>
      </c>
      <c r="G1107">
        <f>IF(E1107,A1107,10^9)</f>
        <v/>
      </c>
      <c r="H1107">
        <f>IF(E1107,D1107,10^9)</f>
        <v/>
      </c>
    </row>
    <row r="1108">
      <c r="A1108" t="n">
        <v>1100</v>
      </c>
      <c r="B1108" t="n">
        <v>0</v>
      </c>
      <c r="C1108" t="n">
        <v>0</v>
      </c>
      <c r="D1108" t="n">
        <v>1306.670986889335</v>
      </c>
      <c r="E1108">
        <f>C1108&lt;0.05</f>
        <v/>
      </c>
      <c r="F1108">
        <f>A1108=$B$5</f>
        <v/>
      </c>
      <c r="G1108">
        <f>IF(E1108,A1108,10^9)</f>
        <v/>
      </c>
      <c r="H1108">
        <f>IF(E1108,D1108,10^9)</f>
        <v/>
      </c>
    </row>
    <row r="1109">
      <c r="A1109" t="n">
        <v>1101</v>
      </c>
      <c r="B1109" t="n">
        <v>0</v>
      </c>
      <c r="C1109" t="n">
        <v>0</v>
      </c>
      <c r="D1109" t="n">
        <v>1307.670986889335</v>
      </c>
      <c r="E1109">
        <f>C1109&lt;0.05</f>
        <v/>
      </c>
      <c r="F1109">
        <f>A1109=$B$5</f>
        <v/>
      </c>
      <c r="G1109">
        <f>IF(E1109,A1109,10^9)</f>
        <v/>
      </c>
      <c r="H1109">
        <f>IF(E1109,D1109,10^9)</f>
        <v/>
      </c>
    </row>
    <row r="1110">
      <c r="A1110" t="n">
        <v>1102</v>
      </c>
      <c r="B1110" t="n">
        <v>0</v>
      </c>
      <c r="C1110" t="n">
        <v>0</v>
      </c>
      <c r="D1110" t="n">
        <v>1308.670986889335</v>
      </c>
      <c r="E1110">
        <f>C1110&lt;0.05</f>
        <v/>
      </c>
      <c r="F1110">
        <f>A1110=$B$5</f>
        <v/>
      </c>
      <c r="G1110">
        <f>IF(E1110,A1110,10^9)</f>
        <v/>
      </c>
      <c r="H1110">
        <f>IF(E1110,D1110,10^9)</f>
        <v/>
      </c>
    </row>
    <row r="1111">
      <c r="A1111" t="n">
        <v>1103</v>
      </c>
      <c r="B1111" t="n">
        <v>0</v>
      </c>
      <c r="C1111" t="n">
        <v>0</v>
      </c>
      <c r="D1111" t="n">
        <v>1309.670986889335</v>
      </c>
      <c r="E1111">
        <f>C1111&lt;0.05</f>
        <v/>
      </c>
      <c r="F1111">
        <f>A1111=$B$5</f>
        <v/>
      </c>
      <c r="G1111">
        <f>IF(E1111,A1111,10^9)</f>
        <v/>
      </c>
      <c r="H1111">
        <f>IF(E1111,D1111,10^9)</f>
        <v/>
      </c>
    </row>
    <row r="1112">
      <c r="A1112" t="n">
        <v>1104</v>
      </c>
      <c r="B1112" t="n">
        <v>0</v>
      </c>
      <c r="C1112" t="n">
        <v>0</v>
      </c>
      <c r="D1112" t="n">
        <v>1310.670986889335</v>
      </c>
      <c r="E1112">
        <f>C1112&lt;0.05</f>
        <v/>
      </c>
      <c r="F1112">
        <f>A1112=$B$5</f>
        <v/>
      </c>
      <c r="G1112">
        <f>IF(E1112,A1112,10^9)</f>
        <v/>
      </c>
      <c r="H1112">
        <f>IF(E1112,D1112,10^9)</f>
        <v/>
      </c>
    </row>
    <row r="1113">
      <c r="A1113" t="n">
        <v>1105</v>
      </c>
      <c r="B1113" t="n">
        <v>0</v>
      </c>
      <c r="C1113" t="n">
        <v>0</v>
      </c>
      <c r="D1113" t="n">
        <v>1311.670986889335</v>
      </c>
      <c r="E1113">
        <f>C1113&lt;0.05</f>
        <v/>
      </c>
      <c r="F1113">
        <f>A1113=$B$5</f>
        <v/>
      </c>
      <c r="G1113">
        <f>IF(E1113,A1113,10^9)</f>
        <v/>
      </c>
      <c r="H1113">
        <f>IF(E1113,D1113,10^9)</f>
        <v/>
      </c>
    </row>
    <row r="1114">
      <c r="A1114" t="n">
        <v>1106</v>
      </c>
      <c r="B1114" t="n">
        <v>0</v>
      </c>
      <c r="C1114" t="n">
        <v>0</v>
      </c>
      <c r="D1114" t="n">
        <v>1312.670986889335</v>
      </c>
      <c r="E1114">
        <f>C1114&lt;0.05</f>
        <v/>
      </c>
      <c r="F1114">
        <f>A1114=$B$5</f>
        <v/>
      </c>
      <c r="G1114">
        <f>IF(E1114,A1114,10^9)</f>
        <v/>
      </c>
      <c r="H1114">
        <f>IF(E1114,D1114,10^9)</f>
        <v/>
      </c>
    </row>
    <row r="1115">
      <c r="A1115" t="n">
        <v>1107</v>
      </c>
      <c r="B1115" t="n">
        <v>0</v>
      </c>
      <c r="C1115" t="n">
        <v>0</v>
      </c>
      <c r="D1115" t="n">
        <v>1313.670986889335</v>
      </c>
      <c r="E1115">
        <f>C1115&lt;0.05</f>
        <v/>
      </c>
      <c r="F1115">
        <f>A1115=$B$5</f>
        <v/>
      </c>
      <c r="G1115">
        <f>IF(E1115,A1115,10^9)</f>
        <v/>
      </c>
      <c r="H1115">
        <f>IF(E1115,D1115,10^9)</f>
        <v/>
      </c>
    </row>
    <row r="1116">
      <c r="A1116" t="n">
        <v>1108</v>
      </c>
      <c r="B1116" t="n">
        <v>0</v>
      </c>
      <c r="C1116" t="n">
        <v>0</v>
      </c>
      <c r="D1116" t="n">
        <v>1314.670986889335</v>
      </c>
      <c r="E1116">
        <f>C1116&lt;0.05</f>
        <v/>
      </c>
      <c r="F1116">
        <f>A1116=$B$5</f>
        <v/>
      </c>
      <c r="G1116">
        <f>IF(E1116,A1116,10^9)</f>
        <v/>
      </c>
      <c r="H1116">
        <f>IF(E1116,D1116,10^9)</f>
        <v/>
      </c>
    </row>
    <row r="1117">
      <c r="A1117" t="n">
        <v>1109</v>
      </c>
      <c r="B1117" t="n">
        <v>0</v>
      </c>
      <c r="C1117" t="n">
        <v>0</v>
      </c>
      <c r="D1117" t="n">
        <v>1315.670986889335</v>
      </c>
      <c r="E1117">
        <f>C1117&lt;0.05</f>
        <v/>
      </c>
      <c r="F1117">
        <f>A1117=$B$5</f>
        <v/>
      </c>
      <c r="G1117">
        <f>IF(E1117,A1117,10^9)</f>
        <v/>
      </c>
      <c r="H1117">
        <f>IF(E1117,D1117,10^9)</f>
        <v/>
      </c>
    </row>
    <row r="1118">
      <c r="A1118" t="n">
        <v>1110</v>
      </c>
      <c r="B1118" t="n">
        <v>0</v>
      </c>
      <c r="C1118" t="n">
        <v>0</v>
      </c>
      <c r="D1118" t="n">
        <v>1316.670986889335</v>
      </c>
      <c r="E1118">
        <f>C1118&lt;0.05</f>
        <v/>
      </c>
      <c r="F1118">
        <f>A1118=$B$5</f>
        <v/>
      </c>
      <c r="G1118">
        <f>IF(E1118,A1118,10^9)</f>
        <v/>
      </c>
      <c r="H1118">
        <f>IF(E1118,D1118,10^9)</f>
        <v/>
      </c>
    </row>
    <row r="1119">
      <c r="A1119" t="n">
        <v>1111</v>
      </c>
      <c r="B1119" t="n">
        <v>0</v>
      </c>
      <c r="C1119" t="n">
        <v>0</v>
      </c>
      <c r="D1119" t="n">
        <v>1317.670986889335</v>
      </c>
      <c r="E1119">
        <f>C1119&lt;0.05</f>
        <v/>
      </c>
      <c r="F1119">
        <f>A1119=$B$5</f>
        <v/>
      </c>
      <c r="G1119">
        <f>IF(E1119,A1119,10^9)</f>
        <v/>
      </c>
      <c r="H1119">
        <f>IF(E1119,D1119,10^9)</f>
        <v/>
      </c>
    </row>
    <row r="1120">
      <c r="A1120" t="n">
        <v>1112</v>
      </c>
      <c r="B1120" t="n">
        <v>0</v>
      </c>
      <c r="C1120" t="n">
        <v>0</v>
      </c>
      <c r="D1120" t="n">
        <v>1318.670986889335</v>
      </c>
      <c r="E1120">
        <f>C1120&lt;0.05</f>
        <v/>
      </c>
      <c r="F1120">
        <f>A1120=$B$5</f>
        <v/>
      </c>
      <c r="G1120">
        <f>IF(E1120,A1120,10^9)</f>
        <v/>
      </c>
      <c r="H1120">
        <f>IF(E1120,D1120,10^9)</f>
        <v/>
      </c>
    </row>
    <row r="1121">
      <c r="A1121" t="n">
        <v>1113</v>
      </c>
      <c r="B1121" t="n">
        <v>0</v>
      </c>
      <c r="C1121" t="n">
        <v>0</v>
      </c>
      <c r="D1121" t="n">
        <v>1319.670986889335</v>
      </c>
      <c r="E1121">
        <f>C1121&lt;0.05</f>
        <v/>
      </c>
      <c r="F1121">
        <f>A1121=$B$5</f>
        <v/>
      </c>
      <c r="G1121">
        <f>IF(E1121,A1121,10^9)</f>
        <v/>
      </c>
      <c r="H1121">
        <f>IF(E1121,D1121,10^9)</f>
        <v/>
      </c>
    </row>
    <row r="1122">
      <c r="A1122" t="n">
        <v>1114</v>
      </c>
      <c r="B1122" t="n">
        <v>0</v>
      </c>
      <c r="C1122" t="n">
        <v>0</v>
      </c>
      <c r="D1122" t="n">
        <v>1320.670986889335</v>
      </c>
      <c r="E1122">
        <f>C1122&lt;0.05</f>
        <v/>
      </c>
      <c r="F1122">
        <f>A1122=$B$5</f>
        <v/>
      </c>
      <c r="G1122">
        <f>IF(E1122,A1122,10^9)</f>
        <v/>
      </c>
      <c r="H1122">
        <f>IF(E1122,D1122,10^9)</f>
        <v/>
      </c>
    </row>
    <row r="1123">
      <c r="A1123" t="n">
        <v>1115</v>
      </c>
      <c r="B1123" t="n">
        <v>0</v>
      </c>
      <c r="C1123" t="n">
        <v>0</v>
      </c>
      <c r="D1123" t="n">
        <v>1321.670986889335</v>
      </c>
      <c r="E1123">
        <f>C1123&lt;0.05</f>
        <v/>
      </c>
      <c r="F1123">
        <f>A1123=$B$5</f>
        <v/>
      </c>
      <c r="G1123">
        <f>IF(E1123,A1123,10^9)</f>
        <v/>
      </c>
      <c r="H1123">
        <f>IF(E1123,D1123,10^9)</f>
        <v/>
      </c>
    </row>
    <row r="1124">
      <c r="A1124" t="n">
        <v>1116</v>
      </c>
      <c r="B1124" t="n">
        <v>0</v>
      </c>
      <c r="C1124" t="n">
        <v>0</v>
      </c>
      <c r="D1124" t="n">
        <v>1322.670986889335</v>
      </c>
      <c r="E1124">
        <f>C1124&lt;0.05</f>
        <v/>
      </c>
      <c r="F1124">
        <f>A1124=$B$5</f>
        <v/>
      </c>
      <c r="G1124">
        <f>IF(E1124,A1124,10^9)</f>
        <v/>
      </c>
      <c r="H1124">
        <f>IF(E1124,D1124,10^9)</f>
        <v/>
      </c>
    </row>
    <row r="1125">
      <c r="A1125" t="n">
        <v>1117</v>
      </c>
      <c r="B1125" t="n">
        <v>0</v>
      </c>
      <c r="C1125" t="n">
        <v>0</v>
      </c>
      <c r="D1125" t="n">
        <v>1323.670986889335</v>
      </c>
      <c r="E1125">
        <f>C1125&lt;0.05</f>
        <v/>
      </c>
      <c r="F1125">
        <f>A1125=$B$5</f>
        <v/>
      </c>
      <c r="G1125">
        <f>IF(E1125,A1125,10^9)</f>
        <v/>
      </c>
      <c r="H1125">
        <f>IF(E1125,D1125,10^9)</f>
        <v/>
      </c>
    </row>
    <row r="1126">
      <c r="A1126" t="n">
        <v>1118</v>
      </c>
      <c r="B1126" t="n">
        <v>0</v>
      </c>
      <c r="C1126" t="n">
        <v>0</v>
      </c>
      <c r="D1126" t="n">
        <v>1324.670986889335</v>
      </c>
      <c r="E1126">
        <f>C1126&lt;0.05</f>
        <v/>
      </c>
      <c r="F1126">
        <f>A1126=$B$5</f>
        <v/>
      </c>
      <c r="G1126">
        <f>IF(E1126,A1126,10^9)</f>
        <v/>
      </c>
      <c r="H1126">
        <f>IF(E1126,D1126,10^9)</f>
        <v/>
      </c>
    </row>
    <row r="1127">
      <c r="A1127" t="n">
        <v>1119</v>
      </c>
      <c r="B1127" t="n">
        <v>0</v>
      </c>
      <c r="C1127" t="n">
        <v>0</v>
      </c>
      <c r="D1127" t="n">
        <v>1325.670986889335</v>
      </c>
      <c r="E1127">
        <f>C1127&lt;0.05</f>
        <v/>
      </c>
      <c r="F1127">
        <f>A1127=$B$5</f>
        <v/>
      </c>
      <c r="G1127">
        <f>IF(E1127,A1127,10^9)</f>
        <v/>
      </c>
      <c r="H1127">
        <f>IF(E1127,D1127,10^9)</f>
        <v/>
      </c>
    </row>
    <row r="1128">
      <c r="A1128" t="n">
        <v>1120</v>
      </c>
      <c r="B1128" t="n">
        <v>0</v>
      </c>
      <c r="C1128" t="n">
        <v>0</v>
      </c>
      <c r="D1128" t="n">
        <v>1326.670986889335</v>
      </c>
      <c r="E1128">
        <f>C1128&lt;0.05</f>
        <v/>
      </c>
      <c r="F1128">
        <f>A1128=$B$5</f>
        <v/>
      </c>
      <c r="G1128">
        <f>IF(E1128,A1128,10^9)</f>
        <v/>
      </c>
      <c r="H1128">
        <f>IF(E1128,D1128,10^9)</f>
        <v/>
      </c>
    </row>
    <row r="1129">
      <c r="A1129" t="n">
        <v>1121</v>
      </c>
      <c r="B1129" t="n">
        <v>0</v>
      </c>
      <c r="C1129" t="n">
        <v>0</v>
      </c>
      <c r="D1129" t="n">
        <v>1327.670986889335</v>
      </c>
      <c r="E1129">
        <f>C1129&lt;0.05</f>
        <v/>
      </c>
      <c r="F1129">
        <f>A1129=$B$5</f>
        <v/>
      </c>
      <c r="G1129">
        <f>IF(E1129,A1129,10^9)</f>
        <v/>
      </c>
      <c r="H1129">
        <f>IF(E1129,D1129,10^9)</f>
        <v/>
      </c>
    </row>
    <row r="1130">
      <c r="A1130" t="n">
        <v>1122</v>
      </c>
      <c r="B1130" t="n">
        <v>0</v>
      </c>
      <c r="C1130" t="n">
        <v>0</v>
      </c>
      <c r="D1130" t="n">
        <v>1328.670986889335</v>
      </c>
      <c r="E1130">
        <f>C1130&lt;0.05</f>
        <v/>
      </c>
      <c r="F1130">
        <f>A1130=$B$5</f>
        <v/>
      </c>
      <c r="G1130">
        <f>IF(E1130,A1130,10^9)</f>
        <v/>
      </c>
      <c r="H1130">
        <f>IF(E1130,D1130,10^9)</f>
        <v/>
      </c>
    </row>
    <row r="1131">
      <c r="A1131" t="n">
        <v>1123</v>
      </c>
      <c r="B1131" t="n">
        <v>0</v>
      </c>
      <c r="C1131" t="n">
        <v>0</v>
      </c>
      <c r="D1131" t="n">
        <v>1329.670986889335</v>
      </c>
      <c r="E1131">
        <f>C1131&lt;0.05</f>
        <v/>
      </c>
      <c r="F1131">
        <f>A1131=$B$5</f>
        <v/>
      </c>
      <c r="G1131">
        <f>IF(E1131,A1131,10^9)</f>
        <v/>
      </c>
      <c r="H1131">
        <f>IF(E1131,D1131,10^9)</f>
        <v/>
      </c>
    </row>
    <row r="1132">
      <c r="A1132" t="n">
        <v>1124</v>
      </c>
      <c r="B1132" t="n">
        <v>0</v>
      </c>
      <c r="C1132" t="n">
        <v>0</v>
      </c>
      <c r="D1132" t="n">
        <v>1330.670986889335</v>
      </c>
      <c r="E1132">
        <f>C1132&lt;0.05</f>
        <v/>
      </c>
      <c r="F1132">
        <f>A1132=$B$5</f>
        <v/>
      </c>
      <c r="G1132">
        <f>IF(E1132,A1132,10^9)</f>
        <v/>
      </c>
      <c r="H1132">
        <f>IF(E1132,D1132,10^9)</f>
        <v/>
      </c>
    </row>
    <row r="1133">
      <c r="A1133" t="n">
        <v>1125</v>
      </c>
      <c r="B1133" t="n">
        <v>0</v>
      </c>
      <c r="C1133" t="n">
        <v>0</v>
      </c>
      <c r="D1133" t="n">
        <v>1331.670986889335</v>
      </c>
      <c r="E1133">
        <f>C1133&lt;0.05</f>
        <v/>
      </c>
      <c r="F1133">
        <f>A1133=$B$5</f>
        <v/>
      </c>
      <c r="G1133">
        <f>IF(E1133,A1133,10^9)</f>
        <v/>
      </c>
      <c r="H1133">
        <f>IF(E1133,D1133,10^9)</f>
        <v/>
      </c>
    </row>
    <row r="1134">
      <c r="A1134" t="n">
        <v>1126</v>
      </c>
      <c r="B1134" t="n">
        <v>0</v>
      </c>
      <c r="C1134" t="n">
        <v>0</v>
      </c>
      <c r="D1134" t="n">
        <v>1332.670986889335</v>
      </c>
      <c r="E1134">
        <f>C1134&lt;0.05</f>
        <v/>
      </c>
      <c r="F1134">
        <f>A1134=$B$5</f>
        <v/>
      </c>
      <c r="G1134">
        <f>IF(E1134,A1134,10^9)</f>
        <v/>
      </c>
      <c r="H1134">
        <f>IF(E1134,D1134,10^9)</f>
        <v/>
      </c>
    </row>
    <row r="1135">
      <c r="A1135" t="n">
        <v>1127</v>
      </c>
      <c r="B1135" t="n">
        <v>0</v>
      </c>
      <c r="C1135" t="n">
        <v>0</v>
      </c>
      <c r="D1135" t="n">
        <v>1333.670986889335</v>
      </c>
      <c r="E1135">
        <f>C1135&lt;0.05</f>
        <v/>
      </c>
      <c r="F1135">
        <f>A1135=$B$5</f>
        <v/>
      </c>
      <c r="G1135">
        <f>IF(E1135,A1135,10^9)</f>
        <v/>
      </c>
      <c r="H1135">
        <f>IF(E1135,D1135,10^9)</f>
        <v/>
      </c>
    </row>
    <row r="1136">
      <c r="A1136" t="n">
        <v>1128</v>
      </c>
      <c r="B1136" t="n">
        <v>0</v>
      </c>
      <c r="C1136" t="n">
        <v>0</v>
      </c>
      <c r="D1136" t="n">
        <v>1334.670986889335</v>
      </c>
      <c r="E1136">
        <f>C1136&lt;0.05</f>
        <v/>
      </c>
      <c r="F1136">
        <f>A1136=$B$5</f>
        <v/>
      </c>
      <c r="G1136">
        <f>IF(E1136,A1136,10^9)</f>
        <v/>
      </c>
      <c r="H1136">
        <f>IF(E1136,D1136,10^9)</f>
        <v/>
      </c>
    </row>
    <row r="1137">
      <c r="A1137" t="n">
        <v>1129</v>
      </c>
      <c r="B1137" t="n">
        <v>0</v>
      </c>
      <c r="C1137" t="n">
        <v>0</v>
      </c>
      <c r="D1137" t="n">
        <v>1335.670986889335</v>
      </c>
      <c r="E1137">
        <f>C1137&lt;0.05</f>
        <v/>
      </c>
      <c r="F1137">
        <f>A1137=$B$5</f>
        <v/>
      </c>
      <c r="G1137">
        <f>IF(E1137,A1137,10^9)</f>
        <v/>
      </c>
      <c r="H1137">
        <f>IF(E1137,D1137,10^9)</f>
        <v/>
      </c>
    </row>
    <row r="1138">
      <c r="A1138" t="n">
        <v>1130</v>
      </c>
      <c r="B1138" t="n">
        <v>0</v>
      </c>
      <c r="C1138" t="n">
        <v>0</v>
      </c>
      <c r="D1138" t="n">
        <v>1336.670986889335</v>
      </c>
      <c r="E1138">
        <f>C1138&lt;0.05</f>
        <v/>
      </c>
      <c r="F1138">
        <f>A1138=$B$5</f>
        <v/>
      </c>
      <c r="G1138">
        <f>IF(E1138,A1138,10^9)</f>
        <v/>
      </c>
      <c r="H1138">
        <f>IF(E1138,D1138,10^9)</f>
        <v/>
      </c>
    </row>
    <row r="1139">
      <c r="A1139" t="n">
        <v>1131</v>
      </c>
      <c r="B1139" t="n">
        <v>0</v>
      </c>
      <c r="C1139" t="n">
        <v>0</v>
      </c>
      <c r="D1139" t="n">
        <v>1337.670986889335</v>
      </c>
      <c r="E1139">
        <f>C1139&lt;0.05</f>
        <v/>
      </c>
      <c r="F1139">
        <f>A1139=$B$5</f>
        <v/>
      </c>
      <c r="G1139">
        <f>IF(E1139,A1139,10^9)</f>
        <v/>
      </c>
      <c r="H1139">
        <f>IF(E1139,D1139,10^9)</f>
        <v/>
      </c>
    </row>
    <row r="1140">
      <c r="A1140" t="n">
        <v>1132</v>
      </c>
      <c r="B1140" t="n">
        <v>0</v>
      </c>
      <c r="C1140" t="n">
        <v>0</v>
      </c>
      <c r="D1140" t="n">
        <v>1338.670986889335</v>
      </c>
      <c r="E1140">
        <f>C1140&lt;0.05</f>
        <v/>
      </c>
      <c r="F1140">
        <f>A1140=$B$5</f>
        <v/>
      </c>
      <c r="G1140">
        <f>IF(E1140,A1140,10^9)</f>
        <v/>
      </c>
      <c r="H1140">
        <f>IF(E1140,D1140,10^9)</f>
        <v/>
      </c>
    </row>
    <row r="1141">
      <c r="A1141" t="n">
        <v>1133</v>
      </c>
      <c r="B1141" t="n">
        <v>0</v>
      </c>
      <c r="C1141" t="n">
        <v>0</v>
      </c>
      <c r="D1141" t="n">
        <v>1339.670986889335</v>
      </c>
      <c r="E1141">
        <f>C1141&lt;0.05</f>
        <v/>
      </c>
      <c r="F1141">
        <f>A1141=$B$5</f>
        <v/>
      </c>
      <c r="G1141">
        <f>IF(E1141,A1141,10^9)</f>
        <v/>
      </c>
      <c r="H1141">
        <f>IF(E1141,D1141,10^9)</f>
        <v/>
      </c>
    </row>
    <row r="1142">
      <c r="A1142" t="n">
        <v>1134</v>
      </c>
      <c r="B1142" t="n">
        <v>0</v>
      </c>
      <c r="C1142" t="n">
        <v>0</v>
      </c>
      <c r="D1142" t="n">
        <v>1340.670986889335</v>
      </c>
      <c r="E1142">
        <f>C1142&lt;0.05</f>
        <v/>
      </c>
      <c r="F1142">
        <f>A1142=$B$5</f>
        <v/>
      </c>
      <c r="G1142">
        <f>IF(E1142,A1142,10^9)</f>
        <v/>
      </c>
      <c r="H1142">
        <f>IF(E1142,D1142,10^9)</f>
        <v/>
      </c>
    </row>
    <row r="1143">
      <c r="A1143" t="n">
        <v>1135</v>
      </c>
      <c r="B1143" t="n">
        <v>0</v>
      </c>
      <c r="C1143" t="n">
        <v>0</v>
      </c>
      <c r="D1143" t="n">
        <v>1341.670986889335</v>
      </c>
      <c r="E1143">
        <f>C1143&lt;0.05</f>
        <v/>
      </c>
      <c r="F1143">
        <f>A1143=$B$5</f>
        <v/>
      </c>
      <c r="G1143">
        <f>IF(E1143,A1143,10^9)</f>
        <v/>
      </c>
      <c r="H1143">
        <f>IF(E1143,D1143,10^9)</f>
        <v/>
      </c>
    </row>
    <row r="1144">
      <c r="A1144" t="n">
        <v>1136</v>
      </c>
      <c r="B1144" t="n">
        <v>0</v>
      </c>
      <c r="C1144" t="n">
        <v>0</v>
      </c>
      <c r="D1144" t="n">
        <v>1342.670986889335</v>
      </c>
      <c r="E1144">
        <f>C1144&lt;0.05</f>
        <v/>
      </c>
      <c r="F1144">
        <f>A1144=$B$5</f>
        <v/>
      </c>
      <c r="G1144">
        <f>IF(E1144,A1144,10^9)</f>
        <v/>
      </c>
      <c r="H1144">
        <f>IF(E1144,D1144,10^9)</f>
        <v/>
      </c>
    </row>
    <row r="1145">
      <c r="A1145" t="n">
        <v>1137</v>
      </c>
      <c r="B1145" t="n">
        <v>0</v>
      </c>
      <c r="C1145" t="n">
        <v>0</v>
      </c>
      <c r="D1145" t="n">
        <v>1343.670986889335</v>
      </c>
      <c r="E1145">
        <f>C1145&lt;0.05</f>
        <v/>
      </c>
      <c r="F1145">
        <f>A1145=$B$5</f>
        <v/>
      </c>
      <c r="G1145">
        <f>IF(E1145,A1145,10^9)</f>
        <v/>
      </c>
      <c r="H1145">
        <f>IF(E1145,D1145,10^9)</f>
        <v/>
      </c>
    </row>
    <row r="1146">
      <c r="A1146" t="n">
        <v>1138</v>
      </c>
      <c r="B1146" t="n">
        <v>0</v>
      </c>
      <c r="C1146" t="n">
        <v>0</v>
      </c>
      <c r="D1146" t="n">
        <v>1344.670986889335</v>
      </c>
      <c r="E1146">
        <f>C1146&lt;0.05</f>
        <v/>
      </c>
      <c r="F1146">
        <f>A1146=$B$5</f>
        <v/>
      </c>
      <c r="G1146">
        <f>IF(E1146,A1146,10^9)</f>
        <v/>
      </c>
      <c r="H1146">
        <f>IF(E1146,D1146,10^9)</f>
        <v/>
      </c>
    </row>
    <row r="1147">
      <c r="A1147" t="n">
        <v>1139</v>
      </c>
      <c r="B1147" t="n">
        <v>0</v>
      </c>
      <c r="C1147" t="n">
        <v>0</v>
      </c>
      <c r="D1147" t="n">
        <v>1345.670986889335</v>
      </c>
      <c r="E1147">
        <f>C1147&lt;0.05</f>
        <v/>
      </c>
      <c r="F1147">
        <f>A1147=$B$5</f>
        <v/>
      </c>
      <c r="G1147">
        <f>IF(E1147,A1147,10^9)</f>
        <v/>
      </c>
      <c r="H1147">
        <f>IF(E1147,D1147,10^9)</f>
        <v/>
      </c>
    </row>
    <row r="1148">
      <c r="A1148" t="n">
        <v>1140</v>
      </c>
      <c r="B1148" t="n">
        <v>0</v>
      </c>
      <c r="C1148" t="n">
        <v>0</v>
      </c>
      <c r="D1148" t="n">
        <v>1346.670986889335</v>
      </c>
      <c r="E1148">
        <f>C1148&lt;0.05</f>
        <v/>
      </c>
      <c r="F1148">
        <f>A1148=$B$5</f>
        <v/>
      </c>
      <c r="G1148">
        <f>IF(E1148,A1148,10^9)</f>
        <v/>
      </c>
      <c r="H1148">
        <f>IF(E1148,D1148,10^9)</f>
        <v/>
      </c>
    </row>
    <row r="1149">
      <c r="A1149" t="n">
        <v>1141</v>
      </c>
      <c r="B1149" t="n">
        <v>0</v>
      </c>
      <c r="C1149" t="n">
        <v>0</v>
      </c>
      <c r="D1149" t="n">
        <v>1347.670986889335</v>
      </c>
      <c r="E1149">
        <f>C1149&lt;0.05</f>
        <v/>
      </c>
      <c r="F1149">
        <f>A1149=$B$5</f>
        <v/>
      </c>
      <c r="G1149">
        <f>IF(E1149,A1149,10^9)</f>
        <v/>
      </c>
      <c r="H1149">
        <f>IF(E1149,D1149,10^9)</f>
        <v/>
      </c>
    </row>
    <row r="1150">
      <c r="A1150" t="n">
        <v>1142</v>
      </c>
      <c r="B1150" t="n">
        <v>0</v>
      </c>
      <c r="C1150" t="n">
        <v>0</v>
      </c>
      <c r="D1150" t="n">
        <v>1348.670986889335</v>
      </c>
      <c r="E1150">
        <f>C1150&lt;0.05</f>
        <v/>
      </c>
      <c r="F1150">
        <f>A1150=$B$5</f>
        <v/>
      </c>
      <c r="G1150">
        <f>IF(E1150,A1150,10^9)</f>
        <v/>
      </c>
      <c r="H1150">
        <f>IF(E1150,D1150,10^9)</f>
        <v/>
      </c>
    </row>
    <row r="1151">
      <c r="A1151" t="n">
        <v>1143</v>
      </c>
      <c r="B1151" t="n">
        <v>0</v>
      </c>
      <c r="C1151" t="n">
        <v>0</v>
      </c>
      <c r="D1151" t="n">
        <v>1349.670986889335</v>
      </c>
      <c r="E1151">
        <f>C1151&lt;0.05</f>
        <v/>
      </c>
      <c r="F1151">
        <f>A1151=$B$5</f>
        <v/>
      </c>
      <c r="G1151">
        <f>IF(E1151,A1151,10^9)</f>
        <v/>
      </c>
      <c r="H1151">
        <f>IF(E1151,D1151,10^9)</f>
        <v/>
      </c>
    </row>
    <row r="1152">
      <c r="A1152" t="n">
        <v>1144</v>
      </c>
      <c r="B1152" t="n">
        <v>0</v>
      </c>
      <c r="C1152" t="n">
        <v>0</v>
      </c>
      <c r="D1152" t="n">
        <v>1350.670986889335</v>
      </c>
      <c r="E1152">
        <f>C1152&lt;0.05</f>
        <v/>
      </c>
      <c r="F1152">
        <f>A1152=$B$5</f>
        <v/>
      </c>
      <c r="G1152">
        <f>IF(E1152,A1152,10^9)</f>
        <v/>
      </c>
      <c r="H1152">
        <f>IF(E1152,D1152,10^9)</f>
        <v/>
      </c>
    </row>
    <row r="1153">
      <c r="A1153" t="n">
        <v>1145</v>
      </c>
      <c r="B1153" t="n">
        <v>0</v>
      </c>
      <c r="C1153" t="n">
        <v>0</v>
      </c>
      <c r="D1153" t="n">
        <v>1351.670986889335</v>
      </c>
      <c r="E1153">
        <f>C1153&lt;0.05</f>
        <v/>
      </c>
      <c r="F1153">
        <f>A1153=$B$5</f>
        <v/>
      </c>
      <c r="G1153">
        <f>IF(E1153,A1153,10^9)</f>
        <v/>
      </c>
      <c r="H1153">
        <f>IF(E1153,D1153,10^9)</f>
        <v/>
      </c>
    </row>
    <row r="1154">
      <c r="A1154" t="n">
        <v>1146</v>
      </c>
      <c r="B1154" t="n">
        <v>0</v>
      </c>
      <c r="C1154" t="n">
        <v>0</v>
      </c>
      <c r="D1154" t="n">
        <v>1352.670986889335</v>
      </c>
      <c r="E1154">
        <f>C1154&lt;0.05</f>
        <v/>
      </c>
      <c r="F1154">
        <f>A1154=$B$5</f>
        <v/>
      </c>
      <c r="G1154">
        <f>IF(E1154,A1154,10^9)</f>
        <v/>
      </c>
      <c r="H1154">
        <f>IF(E1154,D1154,10^9)</f>
        <v/>
      </c>
    </row>
    <row r="1155">
      <c r="A1155" t="n">
        <v>1147</v>
      </c>
      <c r="B1155" t="n">
        <v>0</v>
      </c>
      <c r="C1155" t="n">
        <v>0</v>
      </c>
      <c r="D1155" t="n">
        <v>1353.670986889335</v>
      </c>
      <c r="E1155">
        <f>C1155&lt;0.05</f>
        <v/>
      </c>
      <c r="F1155">
        <f>A1155=$B$5</f>
        <v/>
      </c>
      <c r="G1155">
        <f>IF(E1155,A1155,10^9)</f>
        <v/>
      </c>
      <c r="H1155">
        <f>IF(E1155,D1155,10^9)</f>
        <v/>
      </c>
    </row>
    <row r="1156">
      <c r="A1156" t="n">
        <v>1148</v>
      </c>
      <c r="B1156" t="n">
        <v>0</v>
      </c>
      <c r="C1156" t="n">
        <v>0</v>
      </c>
      <c r="D1156" t="n">
        <v>1354.670986889335</v>
      </c>
      <c r="E1156">
        <f>C1156&lt;0.05</f>
        <v/>
      </c>
      <c r="F1156">
        <f>A1156=$B$5</f>
        <v/>
      </c>
      <c r="G1156">
        <f>IF(E1156,A1156,10^9)</f>
        <v/>
      </c>
      <c r="H1156">
        <f>IF(E1156,D1156,10^9)</f>
        <v/>
      </c>
    </row>
    <row r="1157">
      <c r="A1157" t="n">
        <v>1149</v>
      </c>
      <c r="B1157" t="n">
        <v>0</v>
      </c>
      <c r="C1157" t="n">
        <v>0</v>
      </c>
      <c r="D1157" t="n">
        <v>1355.670986889335</v>
      </c>
      <c r="E1157">
        <f>C1157&lt;0.05</f>
        <v/>
      </c>
      <c r="F1157">
        <f>A1157=$B$5</f>
        <v/>
      </c>
      <c r="G1157">
        <f>IF(E1157,A1157,10^9)</f>
        <v/>
      </c>
      <c r="H1157">
        <f>IF(E1157,D1157,10^9)</f>
        <v/>
      </c>
    </row>
    <row r="1158">
      <c r="A1158" t="n">
        <v>1150</v>
      </c>
      <c r="B1158" t="n">
        <v>0</v>
      </c>
      <c r="C1158" t="n">
        <v>0</v>
      </c>
      <c r="D1158" t="n">
        <v>1356.670986889335</v>
      </c>
      <c r="E1158">
        <f>C1158&lt;0.05</f>
        <v/>
      </c>
      <c r="F1158">
        <f>A1158=$B$5</f>
        <v/>
      </c>
      <c r="G1158">
        <f>IF(E1158,A1158,10^9)</f>
        <v/>
      </c>
      <c r="H1158">
        <f>IF(E1158,D1158,10^9)</f>
        <v/>
      </c>
    </row>
    <row r="1159">
      <c r="A1159" t="n">
        <v>1151</v>
      </c>
      <c r="B1159" t="n">
        <v>0</v>
      </c>
      <c r="C1159" t="n">
        <v>0</v>
      </c>
      <c r="D1159" t="n">
        <v>1357.670986889335</v>
      </c>
      <c r="E1159">
        <f>C1159&lt;0.05</f>
        <v/>
      </c>
      <c r="F1159">
        <f>A1159=$B$5</f>
        <v/>
      </c>
      <c r="G1159">
        <f>IF(E1159,A1159,10^9)</f>
        <v/>
      </c>
      <c r="H1159">
        <f>IF(E1159,D1159,10^9)</f>
        <v/>
      </c>
    </row>
    <row r="1160">
      <c r="A1160" t="n">
        <v>1152</v>
      </c>
      <c r="B1160" t="n">
        <v>0</v>
      </c>
      <c r="C1160" t="n">
        <v>0</v>
      </c>
      <c r="D1160" t="n">
        <v>1358.670986889335</v>
      </c>
      <c r="E1160">
        <f>C1160&lt;0.05</f>
        <v/>
      </c>
      <c r="F1160">
        <f>A1160=$B$5</f>
        <v/>
      </c>
      <c r="G1160">
        <f>IF(E1160,A1160,10^9)</f>
        <v/>
      </c>
      <c r="H1160">
        <f>IF(E1160,D1160,10^9)</f>
        <v/>
      </c>
    </row>
    <row r="1161">
      <c r="A1161" t="n">
        <v>1153</v>
      </c>
      <c r="B1161" t="n">
        <v>0</v>
      </c>
      <c r="C1161" t="n">
        <v>0</v>
      </c>
      <c r="D1161" t="n">
        <v>1359.670986889335</v>
      </c>
      <c r="E1161">
        <f>C1161&lt;0.05</f>
        <v/>
      </c>
      <c r="F1161">
        <f>A1161=$B$5</f>
        <v/>
      </c>
      <c r="G1161">
        <f>IF(E1161,A1161,10^9)</f>
        <v/>
      </c>
      <c r="H1161">
        <f>IF(E1161,D1161,10^9)</f>
        <v/>
      </c>
    </row>
    <row r="1162">
      <c r="A1162" t="n">
        <v>1154</v>
      </c>
      <c r="B1162" t="n">
        <v>0</v>
      </c>
      <c r="C1162" t="n">
        <v>0</v>
      </c>
      <c r="D1162" t="n">
        <v>1360.670986889335</v>
      </c>
      <c r="E1162">
        <f>C1162&lt;0.05</f>
        <v/>
      </c>
      <c r="F1162">
        <f>A1162=$B$5</f>
        <v/>
      </c>
      <c r="G1162">
        <f>IF(E1162,A1162,10^9)</f>
        <v/>
      </c>
      <c r="H1162">
        <f>IF(E1162,D1162,10^9)</f>
        <v/>
      </c>
    </row>
    <row r="1163">
      <c r="A1163" t="n">
        <v>1155</v>
      </c>
      <c r="B1163" t="n">
        <v>0</v>
      </c>
      <c r="C1163" t="n">
        <v>0</v>
      </c>
      <c r="D1163" t="n">
        <v>1361.670986889335</v>
      </c>
      <c r="E1163">
        <f>C1163&lt;0.05</f>
        <v/>
      </c>
      <c r="F1163">
        <f>A1163=$B$5</f>
        <v/>
      </c>
      <c r="G1163">
        <f>IF(E1163,A1163,10^9)</f>
        <v/>
      </c>
      <c r="H1163">
        <f>IF(E1163,D1163,10^9)</f>
        <v/>
      </c>
    </row>
    <row r="1164">
      <c r="A1164" t="n">
        <v>1156</v>
      </c>
      <c r="B1164" t="n">
        <v>0</v>
      </c>
      <c r="C1164" t="n">
        <v>0</v>
      </c>
      <c r="D1164" t="n">
        <v>1362.670986889335</v>
      </c>
      <c r="E1164">
        <f>C1164&lt;0.05</f>
        <v/>
      </c>
      <c r="F1164">
        <f>A1164=$B$5</f>
        <v/>
      </c>
      <c r="G1164">
        <f>IF(E1164,A1164,10^9)</f>
        <v/>
      </c>
      <c r="H1164">
        <f>IF(E1164,D1164,10^9)</f>
        <v/>
      </c>
    </row>
    <row r="1165">
      <c r="A1165" t="n">
        <v>1157</v>
      </c>
      <c r="B1165" t="n">
        <v>0</v>
      </c>
      <c r="C1165" t="n">
        <v>0</v>
      </c>
      <c r="D1165" t="n">
        <v>1363.670986889335</v>
      </c>
      <c r="E1165">
        <f>C1165&lt;0.05</f>
        <v/>
      </c>
      <c r="F1165">
        <f>A1165=$B$5</f>
        <v/>
      </c>
      <c r="G1165">
        <f>IF(E1165,A1165,10^9)</f>
        <v/>
      </c>
      <c r="H1165">
        <f>IF(E1165,D1165,10^9)</f>
        <v/>
      </c>
    </row>
    <row r="1166">
      <c r="A1166" t="n">
        <v>1158</v>
      </c>
      <c r="B1166" t="n">
        <v>0</v>
      </c>
      <c r="C1166" t="n">
        <v>0</v>
      </c>
      <c r="D1166" t="n">
        <v>1364.670986889335</v>
      </c>
      <c r="E1166">
        <f>C1166&lt;0.05</f>
        <v/>
      </c>
      <c r="F1166">
        <f>A1166=$B$5</f>
        <v/>
      </c>
      <c r="G1166">
        <f>IF(E1166,A1166,10^9)</f>
        <v/>
      </c>
      <c r="H1166">
        <f>IF(E1166,D1166,10^9)</f>
        <v/>
      </c>
    </row>
    <row r="1167">
      <c r="A1167" t="n">
        <v>1159</v>
      </c>
      <c r="B1167" t="n">
        <v>0</v>
      </c>
      <c r="C1167" t="n">
        <v>0</v>
      </c>
      <c r="D1167" t="n">
        <v>1365.670986889335</v>
      </c>
      <c r="E1167">
        <f>C1167&lt;0.05</f>
        <v/>
      </c>
      <c r="F1167">
        <f>A1167=$B$5</f>
        <v/>
      </c>
      <c r="G1167">
        <f>IF(E1167,A1167,10^9)</f>
        <v/>
      </c>
      <c r="H1167">
        <f>IF(E1167,D1167,10^9)</f>
        <v/>
      </c>
    </row>
    <row r="1168">
      <c r="A1168" t="n">
        <v>1160</v>
      </c>
      <c r="B1168" t="n">
        <v>0</v>
      </c>
      <c r="C1168" t="n">
        <v>0</v>
      </c>
      <c r="D1168" t="n">
        <v>1366.670986889335</v>
      </c>
      <c r="E1168">
        <f>C1168&lt;0.05</f>
        <v/>
      </c>
      <c r="F1168">
        <f>A1168=$B$5</f>
        <v/>
      </c>
      <c r="G1168">
        <f>IF(E1168,A1168,10^9)</f>
        <v/>
      </c>
      <c r="H1168">
        <f>IF(E1168,D1168,10^9)</f>
        <v/>
      </c>
    </row>
    <row r="1169">
      <c r="A1169" t="n">
        <v>1161</v>
      </c>
      <c r="B1169" t="n">
        <v>0</v>
      </c>
      <c r="C1169" t="n">
        <v>0</v>
      </c>
      <c r="D1169" t="n">
        <v>1367.670986889335</v>
      </c>
      <c r="E1169">
        <f>C1169&lt;0.05</f>
        <v/>
      </c>
      <c r="F1169">
        <f>A1169=$B$5</f>
        <v/>
      </c>
      <c r="G1169">
        <f>IF(E1169,A1169,10^9)</f>
        <v/>
      </c>
      <c r="H1169">
        <f>IF(E1169,D1169,10^9)</f>
        <v/>
      </c>
    </row>
    <row r="1170">
      <c r="A1170" t="n">
        <v>1162</v>
      </c>
      <c r="B1170" t="n">
        <v>0</v>
      </c>
      <c r="C1170" t="n">
        <v>0</v>
      </c>
      <c r="D1170" t="n">
        <v>1368.670986889335</v>
      </c>
      <c r="E1170">
        <f>C1170&lt;0.05</f>
        <v/>
      </c>
      <c r="F1170">
        <f>A1170=$B$5</f>
        <v/>
      </c>
      <c r="G1170">
        <f>IF(E1170,A1170,10^9)</f>
        <v/>
      </c>
      <c r="H1170">
        <f>IF(E1170,D1170,10^9)</f>
        <v/>
      </c>
    </row>
    <row r="1171">
      <c r="A1171" t="n">
        <v>1163</v>
      </c>
      <c r="B1171" t="n">
        <v>0</v>
      </c>
      <c r="C1171" t="n">
        <v>0</v>
      </c>
      <c r="D1171" t="n">
        <v>1369.670986889335</v>
      </c>
      <c r="E1171">
        <f>C1171&lt;0.05</f>
        <v/>
      </c>
      <c r="F1171">
        <f>A1171=$B$5</f>
        <v/>
      </c>
      <c r="G1171">
        <f>IF(E1171,A1171,10^9)</f>
        <v/>
      </c>
      <c r="H1171">
        <f>IF(E1171,D1171,10^9)</f>
        <v/>
      </c>
    </row>
    <row r="1172">
      <c r="A1172" t="n">
        <v>1164</v>
      </c>
      <c r="B1172" t="n">
        <v>0</v>
      </c>
      <c r="C1172" t="n">
        <v>0</v>
      </c>
      <c r="D1172" t="n">
        <v>1370.670986889335</v>
      </c>
      <c r="E1172">
        <f>C1172&lt;0.05</f>
        <v/>
      </c>
      <c r="F1172">
        <f>A1172=$B$5</f>
        <v/>
      </c>
      <c r="G1172">
        <f>IF(E1172,A1172,10^9)</f>
        <v/>
      </c>
      <c r="H1172">
        <f>IF(E1172,D1172,10^9)</f>
        <v/>
      </c>
    </row>
    <row r="1173">
      <c r="A1173" t="n">
        <v>1165</v>
      </c>
      <c r="B1173" t="n">
        <v>0</v>
      </c>
      <c r="C1173" t="n">
        <v>0</v>
      </c>
      <c r="D1173" t="n">
        <v>1371.670986889335</v>
      </c>
      <c r="E1173">
        <f>C1173&lt;0.05</f>
        <v/>
      </c>
      <c r="F1173">
        <f>A1173=$B$5</f>
        <v/>
      </c>
      <c r="G1173">
        <f>IF(E1173,A1173,10^9)</f>
        <v/>
      </c>
      <c r="H1173">
        <f>IF(E1173,D1173,10^9)</f>
        <v/>
      </c>
    </row>
    <row r="1174">
      <c r="A1174" t="n">
        <v>1166</v>
      </c>
      <c r="B1174" t="n">
        <v>0</v>
      </c>
      <c r="C1174" t="n">
        <v>0</v>
      </c>
      <c r="D1174" t="n">
        <v>1372.670986889335</v>
      </c>
      <c r="E1174">
        <f>C1174&lt;0.05</f>
        <v/>
      </c>
      <c r="F1174">
        <f>A1174=$B$5</f>
        <v/>
      </c>
      <c r="G1174">
        <f>IF(E1174,A1174,10^9)</f>
        <v/>
      </c>
      <c r="H1174">
        <f>IF(E1174,D1174,10^9)</f>
        <v/>
      </c>
    </row>
    <row r="1175">
      <c r="A1175" t="n">
        <v>1167</v>
      </c>
      <c r="B1175" t="n">
        <v>0</v>
      </c>
      <c r="C1175" t="n">
        <v>0</v>
      </c>
      <c r="D1175" t="n">
        <v>1373.670986889335</v>
      </c>
      <c r="E1175">
        <f>C1175&lt;0.05</f>
        <v/>
      </c>
      <c r="F1175">
        <f>A1175=$B$5</f>
        <v/>
      </c>
      <c r="G1175">
        <f>IF(E1175,A1175,10^9)</f>
        <v/>
      </c>
      <c r="H1175">
        <f>IF(E1175,D1175,10^9)</f>
        <v/>
      </c>
    </row>
    <row r="1176">
      <c r="A1176" t="n">
        <v>1168</v>
      </c>
      <c r="B1176" t="n">
        <v>0</v>
      </c>
      <c r="C1176" t="n">
        <v>0</v>
      </c>
      <c r="D1176" t="n">
        <v>1374.670986889335</v>
      </c>
      <c r="E1176">
        <f>C1176&lt;0.05</f>
        <v/>
      </c>
      <c r="F1176">
        <f>A1176=$B$5</f>
        <v/>
      </c>
      <c r="G1176">
        <f>IF(E1176,A1176,10^9)</f>
        <v/>
      </c>
      <c r="H1176">
        <f>IF(E1176,D1176,10^9)</f>
        <v/>
      </c>
    </row>
    <row r="1177">
      <c r="A1177" t="n">
        <v>1169</v>
      </c>
      <c r="B1177" t="n">
        <v>0</v>
      </c>
      <c r="C1177" t="n">
        <v>0</v>
      </c>
      <c r="D1177" t="n">
        <v>1375.670986889335</v>
      </c>
      <c r="E1177">
        <f>C1177&lt;0.05</f>
        <v/>
      </c>
      <c r="F1177">
        <f>A1177=$B$5</f>
        <v/>
      </c>
      <c r="G1177">
        <f>IF(E1177,A1177,10^9)</f>
        <v/>
      </c>
      <c r="H1177">
        <f>IF(E1177,D1177,10^9)</f>
        <v/>
      </c>
    </row>
    <row r="1178">
      <c r="A1178" t="n">
        <v>1170</v>
      </c>
      <c r="B1178" t="n">
        <v>0</v>
      </c>
      <c r="C1178" t="n">
        <v>0</v>
      </c>
      <c r="D1178" t="n">
        <v>1376.670986889335</v>
      </c>
      <c r="E1178">
        <f>C1178&lt;0.05</f>
        <v/>
      </c>
      <c r="F1178">
        <f>A1178=$B$5</f>
        <v/>
      </c>
      <c r="G1178">
        <f>IF(E1178,A1178,10^9)</f>
        <v/>
      </c>
      <c r="H1178">
        <f>IF(E1178,D1178,10^9)</f>
        <v/>
      </c>
    </row>
    <row r="1179">
      <c r="A1179" t="n">
        <v>1171</v>
      </c>
      <c r="B1179" t="n">
        <v>0</v>
      </c>
      <c r="C1179" t="n">
        <v>0</v>
      </c>
      <c r="D1179" t="n">
        <v>1377.670986889335</v>
      </c>
      <c r="E1179">
        <f>C1179&lt;0.05</f>
        <v/>
      </c>
      <c r="F1179">
        <f>A1179=$B$5</f>
        <v/>
      </c>
      <c r="G1179">
        <f>IF(E1179,A1179,10^9)</f>
        <v/>
      </c>
      <c r="H1179">
        <f>IF(E1179,D1179,10^9)</f>
        <v/>
      </c>
    </row>
    <row r="1180">
      <c r="A1180" t="n">
        <v>1172</v>
      </c>
      <c r="B1180" t="n">
        <v>0</v>
      </c>
      <c r="C1180" t="n">
        <v>0</v>
      </c>
      <c r="D1180" t="n">
        <v>1378.670986889335</v>
      </c>
      <c r="E1180">
        <f>C1180&lt;0.05</f>
        <v/>
      </c>
      <c r="F1180">
        <f>A1180=$B$5</f>
        <v/>
      </c>
      <c r="G1180">
        <f>IF(E1180,A1180,10^9)</f>
        <v/>
      </c>
      <c r="H1180">
        <f>IF(E1180,D1180,10^9)</f>
        <v/>
      </c>
    </row>
    <row r="1181">
      <c r="A1181" t="n">
        <v>1173</v>
      </c>
      <c r="B1181" t="n">
        <v>0</v>
      </c>
      <c r="C1181" t="n">
        <v>0</v>
      </c>
      <c r="D1181" t="n">
        <v>1379.670986889335</v>
      </c>
      <c r="E1181">
        <f>C1181&lt;0.05</f>
        <v/>
      </c>
      <c r="F1181">
        <f>A1181=$B$5</f>
        <v/>
      </c>
      <c r="G1181">
        <f>IF(E1181,A1181,10^9)</f>
        <v/>
      </c>
      <c r="H1181">
        <f>IF(E1181,D1181,10^9)</f>
        <v/>
      </c>
    </row>
    <row r="1182">
      <c r="A1182" t="n">
        <v>1174</v>
      </c>
      <c r="B1182" t="n">
        <v>0</v>
      </c>
      <c r="C1182" t="n">
        <v>0</v>
      </c>
      <c r="D1182" t="n">
        <v>1380.670986889335</v>
      </c>
      <c r="E1182">
        <f>C1182&lt;0.05</f>
        <v/>
      </c>
      <c r="F1182">
        <f>A1182=$B$5</f>
        <v/>
      </c>
      <c r="G1182">
        <f>IF(E1182,A1182,10^9)</f>
        <v/>
      </c>
      <c r="H1182">
        <f>IF(E1182,D1182,10^9)</f>
        <v/>
      </c>
    </row>
    <row r="1183">
      <c r="A1183" t="n">
        <v>1175</v>
      </c>
      <c r="B1183" t="n">
        <v>0</v>
      </c>
      <c r="C1183" t="n">
        <v>0</v>
      </c>
      <c r="D1183" t="n">
        <v>1381.670986889335</v>
      </c>
      <c r="E1183">
        <f>C1183&lt;0.05</f>
        <v/>
      </c>
      <c r="F1183">
        <f>A1183=$B$5</f>
        <v/>
      </c>
      <c r="G1183">
        <f>IF(E1183,A1183,10^9)</f>
        <v/>
      </c>
      <c r="H1183">
        <f>IF(E1183,D1183,10^9)</f>
        <v/>
      </c>
    </row>
    <row r="1184">
      <c r="A1184" t="n">
        <v>1176</v>
      </c>
      <c r="B1184" t="n">
        <v>0</v>
      </c>
      <c r="C1184" t="n">
        <v>0</v>
      </c>
      <c r="D1184" t="n">
        <v>1382.670986889335</v>
      </c>
      <c r="E1184">
        <f>C1184&lt;0.05</f>
        <v/>
      </c>
      <c r="F1184">
        <f>A1184=$B$5</f>
        <v/>
      </c>
      <c r="G1184">
        <f>IF(E1184,A1184,10^9)</f>
        <v/>
      </c>
      <c r="H1184">
        <f>IF(E1184,D1184,10^9)</f>
        <v/>
      </c>
    </row>
    <row r="1185">
      <c r="A1185" t="n">
        <v>1177</v>
      </c>
      <c r="B1185" t="n">
        <v>0</v>
      </c>
      <c r="C1185" t="n">
        <v>0</v>
      </c>
      <c r="D1185" t="n">
        <v>1383.670986889335</v>
      </c>
      <c r="E1185">
        <f>C1185&lt;0.05</f>
        <v/>
      </c>
      <c r="F1185">
        <f>A1185=$B$5</f>
        <v/>
      </c>
      <c r="G1185">
        <f>IF(E1185,A1185,10^9)</f>
        <v/>
      </c>
      <c r="H1185">
        <f>IF(E1185,D1185,10^9)</f>
        <v/>
      </c>
    </row>
    <row r="1186">
      <c r="A1186" t="n">
        <v>1178</v>
      </c>
      <c r="B1186" t="n">
        <v>0</v>
      </c>
      <c r="C1186" t="n">
        <v>0</v>
      </c>
      <c r="D1186" t="n">
        <v>1384.670986889335</v>
      </c>
      <c r="E1186">
        <f>C1186&lt;0.05</f>
        <v/>
      </c>
      <c r="F1186">
        <f>A1186=$B$5</f>
        <v/>
      </c>
      <c r="G1186">
        <f>IF(E1186,A1186,10^9)</f>
        <v/>
      </c>
      <c r="H1186">
        <f>IF(E1186,D1186,10^9)</f>
        <v/>
      </c>
    </row>
    <row r="1187">
      <c r="A1187" t="n">
        <v>1179</v>
      </c>
      <c r="B1187" t="n">
        <v>0</v>
      </c>
      <c r="C1187" t="n">
        <v>0</v>
      </c>
      <c r="D1187" t="n">
        <v>1385.670986889335</v>
      </c>
      <c r="E1187">
        <f>C1187&lt;0.05</f>
        <v/>
      </c>
      <c r="F1187">
        <f>A1187=$B$5</f>
        <v/>
      </c>
      <c r="G1187">
        <f>IF(E1187,A1187,10^9)</f>
        <v/>
      </c>
      <c r="H1187">
        <f>IF(E1187,D1187,10^9)</f>
        <v/>
      </c>
    </row>
    <row r="1188">
      <c r="A1188" t="n">
        <v>1180</v>
      </c>
      <c r="B1188" t="n">
        <v>0</v>
      </c>
      <c r="C1188" t="n">
        <v>0</v>
      </c>
      <c r="D1188" t="n">
        <v>1386.670986889335</v>
      </c>
      <c r="E1188">
        <f>C1188&lt;0.05</f>
        <v/>
      </c>
      <c r="F1188">
        <f>A1188=$B$5</f>
        <v/>
      </c>
      <c r="G1188">
        <f>IF(E1188,A1188,10^9)</f>
        <v/>
      </c>
      <c r="H1188">
        <f>IF(E1188,D1188,10^9)</f>
        <v/>
      </c>
    </row>
    <row r="1189">
      <c r="A1189" t="n">
        <v>1181</v>
      </c>
      <c r="B1189" t="n">
        <v>0</v>
      </c>
      <c r="C1189" t="n">
        <v>0</v>
      </c>
      <c r="D1189" t="n">
        <v>1387.670986889335</v>
      </c>
      <c r="E1189">
        <f>C1189&lt;0.05</f>
        <v/>
      </c>
      <c r="F1189">
        <f>A1189=$B$5</f>
        <v/>
      </c>
      <c r="G1189">
        <f>IF(E1189,A1189,10^9)</f>
        <v/>
      </c>
      <c r="H1189">
        <f>IF(E1189,D1189,10^9)</f>
        <v/>
      </c>
    </row>
    <row r="1190">
      <c r="A1190" t="n">
        <v>1182</v>
      </c>
      <c r="B1190" t="n">
        <v>0</v>
      </c>
      <c r="C1190" t="n">
        <v>0</v>
      </c>
      <c r="D1190" t="n">
        <v>1388.670986889335</v>
      </c>
      <c r="E1190">
        <f>C1190&lt;0.05</f>
        <v/>
      </c>
      <c r="F1190">
        <f>A1190=$B$5</f>
        <v/>
      </c>
      <c r="G1190">
        <f>IF(E1190,A1190,10^9)</f>
        <v/>
      </c>
      <c r="H1190">
        <f>IF(E1190,D1190,10^9)</f>
        <v/>
      </c>
    </row>
    <row r="1191">
      <c r="A1191" t="n">
        <v>1183</v>
      </c>
      <c r="B1191" t="n">
        <v>0</v>
      </c>
      <c r="C1191" t="n">
        <v>0</v>
      </c>
      <c r="D1191" t="n">
        <v>1389.670986889335</v>
      </c>
      <c r="E1191">
        <f>C1191&lt;0.05</f>
        <v/>
      </c>
      <c r="F1191">
        <f>A1191=$B$5</f>
        <v/>
      </c>
      <c r="G1191">
        <f>IF(E1191,A1191,10^9)</f>
        <v/>
      </c>
      <c r="H1191">
        <f>IF(E1191,D1191,10^9)</f>
        <v/>
      </c>
    </row>
    <row r="1192">
      <c r="A1192" t="n">
        <v>1184</v>
      </c>
      <c r="B1192" t="n">
        <v>0</v>
      </c>
      <c r="C1192" t="n">
        <v>0</v>
      </c>
      <c r="D1192" t="n">
        <v>1390.670986889335</v>
      </c>
      <c r="E1192">
        <f>C1192&lt;0.05</f>
        <v/>
      </c>
      <c r="F1192">
        <f>A1192=$B$5</f>
        <v/>
      </c>
      <c r="G1192">
        <f>IF(E1192,A1192,10^9)</f>
        <v/>
      </c>
      <c r="H1192">
        <f>IF(E1192,D1192,10^9)</f>
        <v/>
      </c>
    </row>
    <row r="1193">
      <c r="A1193" t="n">
        <v>1185</v>
      </c>
      <c r="B1193" t="n">
        <v>0</v>
      </c>
      <c r="C1193" t="n">
        <v>0</v>
      </c>
      <c r="D1193" t="n">
        <v>1391.670986889335</v>
      </c>
      <c r="E1193">
        <f>C1193&lt;0.05</f>
        <v/>
      </c>
      <c r="F1193">
        <f>A1193=$B$5</f>
        <v/>
      </c>
      <c r="G1193">
        <f>IF(E1193,A1193,10^9)</f>
        <v/>
      </c>
      <c r="H1193">
        <f>IF(E1193,D1193,10^9)</f>
        <v/>
      </c>
    </row>
    <row r="1194">
      <c r="A1194" t="n">
        <v>1186</v>
      </c>
      <c r="B1194" t="n">
        <v>0</v>
      </c>
      <c r="C1194" t="n">
        <v>0</v>
      </c>
      <c r="D1194" t="n">
        <v>1392.670986889335</v>
      </c>
      <c r="E1194">
        <f>C1194&lt;0.05</f>
        <v/>
      </c>
      <c r="F1194">
        <f>A1194=$B$5</f>
        <v/>
      </c>
      <c r="G1194">
        <f>IF(E1194,A1194,10^9)</f>
        <v/>
      </c>
      <c r="H1194">
        <f>IF(E1194,D1194,10^9)</f>
        <v/>
      </c>
    </row>
    <row r="1195">
      <c r="A1195" t="n">
        <v>1187</v>
      </c>
      <c r="B1195" t="n">
        <v>0</v>
      </c>
      <c r="C1195" t="n">
        <v>0</v>
      </c>
      <c r="D1195" t="n">
        <v>1393.670986889335</v>
      </c>
      <c r="E1195">
        <f>C1195&lt;0.05</f>
        <v/>
      </c>
      <c r="F1195">
        <f>A1195=$B$5</f>
        <v/>
      </c>
      <c r="G1195">
        <f>IF(E1195,A1195,10^9)</f>
        <v/>
      </c>
      <c r="H1195">
        <f>IF(E1195,D1195,10^9)</f>
        <v/>
      </c>
    </row>
    <row r="1196">
      <c r="A1196" t="n">
        <v>1188</v>
      </c>
      <c r="B1196" t="n">
        <v>0</v>
      </c>
      <c r="C1196" t="n">
        <v>0</v>
      </c>
      <c r="D1196" t="n">
        <v>1394.670986889335</v>
      </c>
      <c r="E1196">
        <f>C1196&lt;0.05</f>
        <v/>
      </c>
      <c r="F1196">
        <f>A1196=$B$5</f>
        <v/>
      </c>
      <c r="G1196">
        <f>IF(E1196,A1196,10^9)</f>
        <v/>
      </c>
      <c r="H1196">
        <f>IF(E1196,D1196,10^9)</f>
        <v/>
      </c>
    </row>
    <row r="1197">
      <c r="A1197" t="n">
        <v>1189</v>
      </c>
      <c r="B1197" t="n">
        <v>0</v>
      </c>
      <c r="C1197" t="n">
        <v>0</v>
      </c>
      <c r="D1197" t="n">
        <v>1395.670986889335</v>
      </c>
      <c r="E1197">
        <f>C1197&lt;0.05</f>
        <v/>
      </c>
      <c r="F1197">
        <f>A1197=$B$5</f>
        <v/>
      </c>
      <c r="G1197">
        <f>IF(E1197,A1197,10^9)</f>
        <v/>
      </c>
      <c r="H1197">
        <f>IF(E1197,D1197,10^9)</f>
        <v/>
      </c>
    </row>
    <row r="1198">
      <c r="A1198" t="n">
        <v>1190</v>
      </c>
      <c r="B1198" t="n">
        <v>0</v>
      </c>
      <c r="C1198" t="n">
        <v>0</v>
      </c>
      <c r="D1198" t="n">
        <v>1396.670986889335</v>
      </c>
      <c r="E1198">
        <f>C1198&lt;0.05</f>
        <v/>
      </c>
      <c r="F1198">
        <f>A1198=$B$5</f>
        <v/>
      </c>
      <c r="G1198">
        <f>IF(E1198,A1198,10^9)</f>
        <v/>
      </c>
      <c r="H1198">
        <f>IF(E1198,D1198,10^9)</f>
        <v/>
      </c>
    </row>
    <row r="1199">
      <c r="A1199" t="n">
        <v>1191</v>
      </c>
      <c r="B1199" t="n">
        <v>0</v>
      </c>
      <c r="C1199" t="n">
        <v>0</v>
      </c>
      <c r="D1199" t="n">
        <v>1397.670986889335</v>
      </c>
      <c r="E1199">
        <f>C1199&lt;0.05</f>
        <v/>
      </c>
      <c r="F1199">
        <f>A1199=$B$5</f>
        <v/>
      </c>
      <c r="G1199">
        <f>IF(E1199,A1199,10^9)</f>
        <v/>
      </c>
      <c r="H1199">
        <f>IF(E1199,D1199,10^9)</f>
        <v/>
      </c>
    </row>
    <row r="1200">
      <c r="A1200" t="n">
        <v>1192</v>
      </c>
      <c r="B1200" t="n">
        <v>0</v>
      </c>
      <c r="C1200" t="n">
        <v>0</v>
      </c>
      <c r="D1200" t="n">
        <v>1398.670986889335</v>
      </c>
      <c r="E1200">
        <f>C1200&lt;0.05</f>
        <v/>
      </c>
      <c r="F1200">
        <f>A1200=$B$5</f>
        <v/>
      </c>
      <c r="G1200">
        <f>IF(E1200,A1200,10^9)</f>
        <v/>
      </c>
      <c r="H1200">
        <f>IF(E1200,D1200,10^9)</f>
        <v/>
      </c>
    </row>
    <row r="1201">
      <c r="A1201" t="n">
        <v>1193</v>
      </c>
      <c r="B1201" t="n">
        <v>0</v>
      </c>
      <c r="C1201" t="n">
        <v>0</v>
      </c>
      <c r="D1201" t="n">
        <v>1399.670986889335</v>
      </c>
      <c r="E1201">
        <f>C1201&lt;0.05</f>
        <v/>
      </c>
      <c r="F1201">
        <f>A1201=$B$5</f>
        <v/>
      </c>
      <c r="G1201">
        <f>IF(E1201,A1201,10^9)</f>
        <v/>
      </c>
      <c r="H1201">
        <f>IF(E1201,D1201,10^9)</f>
        <v/>
      </c>
    </row>
    <row r="1202">
      <c r="A1202" t="n">
        <v>1194</v>
      </c>
      <c r="B1202" t="n">
        <v>0</v>
      </c>
      <c r="C1202" t="n">
        <v>0</v>
      </c>
      <c r="D1202" t="n">
        <v>1400.670986889335</v>
      </c>
      <c r="E1202">
        <f>C1202&lt;0.05</f>
        <v/>
      </c>
      <c r="F1202">
        <f>A1202=$B$5</f>
        <v/>
      </c>
      <c r="G1202">
        <f>IF(E1202,A1202,10^9)</f>
        <v/>
      </c>
      <c r="H1202">
        <f>IF(E1202,D1202,10^9)</f>
        <v/>
      </c>
    </row>
    <row r="1203">
      <c r="A1203" t="n">
        <v>1195</v>
      </c>
      <c r="B1203" t="n">
        <v>0</v>
      </c>
      <c r="C1203" t="n">
        <v>0</v>
      </c>
      <c r="D1203" t="n">
        <v>1401.670986889335</v>
      </c>
      <c r="E1203">
        <f>C1203&lt;0.05</f>
        <v/>
      </c>
      <c r="F1203">
        <f>A1203=$B$5</f>
        <v/>
      </c>
      <c r="G1203">
        <f>IF(E1203,A1203,10^9)</f>
        <v/>
      </c>
      <c r="H1203">
        <f>IF(E1203,D1203,10^9)</f>
        <v/>
      </c>
    </row>
    <row r="1204">
      <c r="A1204" t="n">
        <v>1196</v>
      </c>
      <c r="B1204" t="n">
        <v>0</v>
      </c>
      <c r="C1204" t="n">
        <v>0</v>
      </c>
      <c r="D1204" t="n">
        <v>1402.670986889335</v>
      </c>
      <c r="E1204">
        <f>C1204&lt;0.05</f>
        <v/>
      </c>
      <c r="F1204">
        <f>A1204=$B$5</f>
        <v/>
      </c>
      <c r="G1204">
        <f>IF(E1204,A1204,10^9)</f>
        <v/>
      </c>
      <c r="H1204">
        <f>IF(E1204,D1204,10^9)</f>
        <v/>
      </c>
    </row>
    <row r="1205">
      <c r="A1205" t="n">
        <v>1197</v>
      </c>
      <c r="B1205" t="n">
        <v>0</v>
      </c>
      <c r="C1205" t="n">
        <v>0</v>
      </c>
      <c r="D1205" t="n">
        <v>1403.670986889335</v>
      </c>
      <c r="E1205">
        <f>C1205&lt;0.05</f>
        <v/>
      </c>
      <c r="F1205">
        <f>A1205=$B$5</f>
        <v/>
      </c>
      <c r="G1205">
        <f>IF(E1205,A1205,10^9)</f>
        <v/>
      </c>
      <c r="H1205">
        <f>IF(E1205,D1205,10^9)</f>
        <v/>
      </c>
    </row>
    <row r="1206">
      <c r="A1206" t="n">
        <v>1198</v>
      </c>
      <c r="B1206" t="n">
        <v>0</v>
      </c>
      <c r="C1206" t="n">
        <v>0</v>
      </c>
      <c r="D1206" t="n">
        <v>1404.670986889335</v>
      </c>
      <c r="E1206">
        <f>C1206&lt;0.05</f>
        <v/>
      </c>
      <c r="F1206">
        <f>A1206=$B$5</f>
        <v/>
      </c>
      <c r="G1206">
        <f>IF(E1206,A1206,10^9)</f>
        <v/>
      </c>
      <c r="H1206">
        <f>IF(E1206,D1206,10^9)</f>
        <v/>
      </c>
    </row>
    <row r="1207">
      <c r="A1207" t="n">
        <v>1199</v>
      </c>
      <c r="B1207" t="n">
        <v>0</v>
      </c>
      <c r="C1207" t="n">
        <v>0</v>
      </c>
      <c r="D1207" t="n">
        <v>1405.670986889335</v>
      </c>
      <c r="E1207">
        <f>C1207&lt;0.05</f>
        <v/>
      </c>
      <c r="F1207">
        <f>A1207=$B$5</f>
        <v/>
      </c>
      <c r="G1207">
        <f>IF(E1207,A1207,10^9)</f>
        <v/>
      </c>
      <c r="H1207">
        <f>IF(E1207,D1207,10^9)</f>
        <v/>
      </c>
    </row>
    <row r="1208">
      <c r="A1208" t="n">
        <v>1200</v>
      </c>
      <c r="B1208" t="n">
        <v>0</v>
      </c>
      <c r="C1208" t="n">
        <v>0</v>
      </c>
      <c r="D1208" t="n">
        <v>1406.670986889335</v>
      </c>
      <c r="E1208">
        <f>C1208&lt;0.05</f>
        <v/>
      </c>
      <c r="F1208">
        <f>A1208=$B$5</f>
        <v/>
      </c>
      <c r="G1208">
        <f>IF(E1208,A1208,10^9)</f>
        <v/>
      </c>
      <c r="H1208">
        <f>IF(E1208,D1208,10^9)</f>
        <v/>
      </c>
    </row>
    <row r="1209">
      <c r="A1209" t="n">
        <v>1201</v>
      </c>
      <c r="B1209" t="n">
        <v>0</v>
      </c>
      <c r="C1209" t="n">
        <v>0</v>
      </c>
      <c r="D1209" t="n">
        <v>1407.670986889335</v>
      </c>
      <c r="E1209">
        <f>C1209&lt;0.05</f>
        <v/>
      </c>
      <c r="F1209">
        <f>A1209=$B$5</f>
        <v/>
      </c>
      <c r="G1209">
        <f>IF(E1209,A1209,10^9)</f>
        <v/>
      </c>
      <c r="H1209">
        <f>IF(E1209,D1209,10^9)</f>
        <v/>
      </c>
    </row>
    <row r="1210">
      <c r="A1210" t="n">
        <v>1202</v>
      </c>
      <c r="B1210" t="n">
        <v>0</v>
      </c>
      <c r="C1210" t="n">
        <v>0</v>
      </c>
      <c r="D1210" t="n">
        <v>1408.670986889335</v>
      </c>
      <c r="E1210">
        <f>C1210&lt;0.05</f>
        <v/>
      </c>
      <c r="F1210">
        <f>A1210=$B$5</f>
        <v/>
      </c>
      <c r="G1210">
        <f>IF(E1210,A1210,10^9)</f>
        <v/>
      </c>
      <c r="H1210">
        <f>IF(E1210,D1210,10^9)</f>
        <v/>
      </c>
    </row>
    <row r="1211">
      <c r="A1211" t="n">
        <v>1203</v>
      </c>
      <c r="B1211" t="n">
        <v>0</v>
      </c>
      <c r="C1211" t="n">
        <v>0</v>
      </c>
      <c r="D1211" t="n">
        <v>1409.670986889335</v>
      </c>
      <c r="E1211">
        <f>C1211&lt;0.05</f>
        <v/>
      </c>
      <c r="F1211">
        <f>A1211=$B$5</f>
        <v/>
      </c>
      <c r="G1211">
        <f>IF(E1211,A1211,10^9)</f>
        <v/>
      </c>
      <c r="H1211">
        <f>IF(E1211,D1211,10^9)</f>
        <v/>
      </c>
    </row>
    <row r="1212">
      <c r="A1212" t="n">
        <v>1204</v>
      </c>
      <c r="B1212" t="n">
        <v>0</v>
      </c>
      <c r="C1212" t="n">
        <v>0</v>
      </c>
      <c r="D1212" t="n">
        <v>1410.670986889335</v>
      </c>
      <c r="E1212">
        <f>C1212&lt;0.05</f>
        <v/>
      </c>
      <c r="F1212">
        <f>A1212=$B$5</f>
        <v/>
      </c>
      <c r="G1212">
        <f>IF(E1212,A1212,10^9)</f>
        <v/>
      </c>
      <c r="H1212">
        <f>IF(E1212,D1212,10^9)</f>
        <v/>
      </c>
    </row>
    <row r="1213">
      <c r="A1213" t="n">
        <v>1205</v>
      </c>
      <c r="B1213" t="n">
        <v>0</v>
      </c>
      <c r="C1213" t="n">
        <v>0</v>
      </c>
      <c r="D1213" t="n">
        <v>1411.670986889335</v>
      </c>
      <c r="E1213">
        <f>C1213&lt;0.05</f>
        <v/>
      </c>
      <c r="F1213">
        <f>A1213=$B$5</f>
        <v/>
      </c>
      <c r="G1213">
        <f>IF(E1213,A1213,10^9)</f>
        <v/>
      </c>
      <c r="H1213">
        <f>IF(E1213,D1213,10^9)</f>
        <v/>
      </c>
    </row>
    <row r="1214">
      <c r="A1214" t="n">
        <v>1206</v>
      </c>
      <c r="B1214" t="n">
        <v>0</v>
      </c>
      <c r="C1214" t="n">
        <v>0</v>
      </c>
      <c r="D1214" t="n">
        <v>1412.670986889335</v>
      </c>
      <c r="E1214">
        <f>C1214&lt;0.05</f>
        <v/>
      </c>
      <c r="F1214">
        <f>A1214=$B$5</f>
        <v/>
      </c>
      <c r="G1214">
        <f>IF(E1214,A1214,10^9)</f>
        <v/>
      </c>
      <c r="H1214">
        <f>IF(E1214,D1214,10^9)</f>
        <v/>
      </c>
    </row>
    <row r="1215">
      <c r="A1215" t="n">
        <v>1207</v>
      </c>
      <c r="B1215" t="n">
        <v>0</v>
      </c>
      <c r="C1215" t="n">
        <v>0</v>
      </c>
      <c r="D1215" t="n">
        <v>1413.670986889335</v>
      </c>
      <c r="E1215">
        <f>C1215&lt;0.05</f>
        <v/>
      </c>
      <c r="F1215">
        <f>A1215=$B$5</f>
        <v/>
      </c>
      <c r="G1215">
        <f>IF(E1215,A1215,10^9)</f>
        <v/>
      </c>
      <c r="H1215">
        <f>IF(E1215,D1215,10^9)</f>
        <v/>
      </c>
    </row>
    <row r="1216">
      <c r="A1216" t="n">
        <v>1208</v>
      </c>
      <c r="B1216" t="n">
        <v>0</v>
      </c>
      <c r="C1216" t="n">
        <v>0</v>
      </c>
      <c r="D1216" t="n">
        <v>1414.670986889335</v>
      </c>
      <c r="E1216">
        <f>C1216&lt;0.05</f>
        <v/>
      </c>
      <c r="F1216">
        <f>A1216=$B$5</f>
        <v/>
      </c>
      <c r="G1216">
        <f>IF(E1216,A1216,10^9)</f>
        <v/>
      </c>
      <c r="H1216">
        <f>IF(E1216,D1216,10^9)</f>
        <v/>
      </c>
    </row>
    <row r="1217">
      <c r="A1217" t="n">
        <v>1209</v>
      </c>
      <c r="B1217" t="n">
        <v>0</v>
      </c>
      <c r="C1217" t="n">
        <v>0</v>
      </c>
      <c r="D1217" t="n">
        <v>1415.670986889335</v>
      </c>
      <c r="E1217">
        <f>C1217&lt;0.05</f>
        <v/>
      </c>
      <c r="F1217">
        <f>A1217=$B$5</f>
        <v/>
      </c>
      <c r="G1217">
        <f>IF(E1217,A1217,10^9)</f>
        <v/>
      </c>
      <c r="H1217">
        <f>IF(E1217,D1217,10^9)</f>
        <v/>
      </c>
    </row>
    <row r="1218">
      <c r="A1218" t="n">
        <v>1210</v>
      </c>
      <c r="B1218" t="n">
        <v>0</v>
      </c>
      <c r="C1218" t="n">
        <v>0</v>
      </c>
      <c r="D1218" t="n">
        <v>1416.670986889335</v>
      </c>
      <c r="E1218">
        <f>C1218&lt;0.05</f>
        <v/>
      </c>
      <c r="F1218">
        <f>A1218=$B$5</f>
        <v/>
      </c>
      <c r="G1218">
        <f>IF(E1218,A1218,10^9)</f>
        <v/>
      </c>
      <c r="H1218">
        <f>IF(E1218,D1218,10^9)</f>
        <v/>
      </c>
    </row>
    <row r="1219">
      <c r="A1219" t="n">
        <v>1211</v>
      </c>
      <c r="B1219" t="n">
        <v>0</v>
      </c>
      <c r="C1219" t="n">
        <v>0</v>
      </c>
      <c r="D1219" t="n">
        <v>1417.670986889335</v>
      </c>
      <c r="E1219">
        <f>C1219&lt;0.05</f>
        <v/>
      </c>
      <c r="F1219">
        <f>A1219=$B$5</f>
        <v/>
      </c>
      <c r="G1219">
        <f>IF(E1219,A1219,10^9)</f>
        <v/>
      </c>
      <c r="H1219">
        <f>IF(E1219,D1219,10^9)</f>
        <v/>
      </c>
    </row>
    <row r="1220">
      <c r="A1220" t="n">
        <v>1212</v>
      </c>
      <c r="B1220" t="n">
        <v>0</v>
      </c>
      <c r="C1220" t="n">
        <v>0</v>
      </c>
      <c r="D1220" t="n">
        <v>1418.670986889335</v>
      </c>
      <c r="E1220">
        <f>C1220&lt;0.05</f>
        <v/>
      </c>
      <c r="F1220">
        <f>A1220=$B$5</f>
        <v/>
      </c>
      <c r="G1220">
        <f>IF(E1220,A1220,10^9)</f>
        <v/>
      </c>
      <c r="H1220">
        <f>IF(E1220,D1220,10^9)</f>
        <v/>
      </c>
    </row>
    <row r="1221">
      <c r="A1221" t="n">
        <v>1213</v>
      </c>
      <c r="B1221" t="n">
        <v>0</v>
      </c>
      <c r="C1221" t="n">
        <v>0</v>
      </c>
      <c r="D1221" t="n">
        <v>1419.670986889335</v>
      </c>
      <c r="E1221">
        <f>C1221&lt;0.05</f>
        <v/>
      </c>
      <c r="F1221">
        <f>A1221=$B$5</f>
        <v/>
      </c>
      <c r="G1221">
        <f>IF(E1221,A1221,10^9)</f>
        <v/>
      </c>
      <c r="H1221">
        <f>IF(E1221,D1221,10^9)</f>
        <v/>
      </c>
    </row>
    <row r="1222">
      <c r="A1222" t="n">
        <v>1214</v>
      </c>
      <c r="B1222" t="n">
        <v>0</v>
      </c>
      <c r="C1222" t="n">
        <v>0</v>
      </c>
      <c r="D1222" t="n">
        <v>1420.670986889335</v>
      </c>
      <c r="E1222">
        <f>C1222&lt;0.05</f>
        <v/>
      </c>
      <c r="F1222">
        <f>A1222=$B$5</f>
        <v/>
      </c>
      <c r="G1222">
        <f>IF(E1222,A1222,10^9)</f>
        <v/>
      </c>
      <c r="H1222">
        <f>IF(E1222,D1222,10^9)</f>
        <v/>
      </c>
    </row>
    <row r="1223">
      <c r="A1223" t="n">
        <v>1215</v>
      </c>
      <c r="B1223" t="n">
        <v>0</v>
      </c>
      <c r="C1223" t="n">
        <v>0</v>
      </c>
      <c r="D1223" t="n">
        <v>1421.670986889335</v>
      </c>
      <c r="E1223">
        <f>C1223&lt;0.05</f>
        <v/>
      </c>
      <c r="F1223">
        <f>A1223=$B$5</f>
        <v/>
      </c>
      <c r="G1223">
        <f>IF(E1223,A1223,10^9)</f>
        <v/>
      </c>
      <c r="H1223">
        <f>IF(E1223,D1223,10^9)</f>
        <v/>
      </c>
    </row>
    <row r="1224">
      <c r="A1224" t="n">
        <v>1216</v>
      </c>
      <c r="B1224" t="n">
        <v>0</v>
      </c>
      <c r="C1224" t="n">
        <v>0</v>
      </c>
      <c r="D1224" t="n">
        <v>1422.670986889335</v>
      </c>
      <c r="E1224">
        <f>C1224&lt;0.05</f>
        <v/>
      </c>
      <c r="F1224">
        <f>A1224=$B$5</f>
        <v/>
      </c>
      <c r="G1224">
        <f>IF(E1224,A1224,10^9)</f>
        <v/>
      </c>
      <c r="H1224">
        <f>IF(E1224,D1224,10^9)</f>
        <v/>
      </c>
    </row>
    <row r="1225">
      <c r="A1225" t="n">
        <v>1217</v>
      </c>
      <c r="B1225" t="n">
        <v>0</v>
      </c>
      <c r="C1225" t="n">
        <v>0</v>
      </c>
      <c r="D1225" t="n">
        <v>1423.670986889335</v>
      </c>
      <c r="E1225">
        <f>C1225&lt;0.05</f>
        <v/>
      </c>
      <c r="F1225">
        <f>A1225=$B$5</f>
        <v/>
      </c>
      <c r="G1225">
        <f>IF(E1225,A1225,10^9)</f>
        <v/>
      </c>
      <c r="H1225">
        <f>IF(E1225,D1225,10^9)</f>
        <v/>
      </c>
    </row>
    <row r="1226">
      <c r="A1226" t="n">
        <v>1218</v>
      </c>
      <c r="B1226" t="n">
        <v>0</v>
      </c>
      <c r="C1226" t="n">
        <v>0</v>
      </c>
      <c r="D1226" t="n">
        <v>1424.670986889335</v>
      </c>
      <c r="E1226">
        <f>C1226&lt;0.05</f>
        <v/>
      </c>
      <c r="F1226">
        <f>A1226=$B$5</f>
        <v/>
      </c>
      <c r="G1226">
        <f>IF(E1226,A1226,10^9)</f>
        <v/>
      </c>
      <c r="H1226">
        <f>IF(E1226,D1226,10^9)</f>
        <v/>
      </c>
    </row>
    <row r="1227">
      <c r="A1227" t="n">
        <v>1219</v>
      </c>
      <c r="B1227" t="n">
        <v>0</v>
      </c>
      <c r="C1227" t="n">
        <v>0</v>
      </c>
      <c r="D1227" t="n">
        <v>1425.670986889335</v>
      </c>
      <c r="E1227">
        <f>C1227&lt;0.05</f>
        <v/>
      </c>
      <c r="F1227">
        <f>A1227=$B$5</f>
        <v/>
      </c>
      <c r="G1227">
        <f>IF(E1227,A1227,10^9)</f>
        <v/>
      </c>
      <c r="H1227">
        <f>IF(E1227,D1227,10^9)</f>
        <v/>
      </c>
    </row>
    <row r="1228">
      <c r="A1228" t="n">
        <v>1220</v>
      </c>
      <c r="B1228" t="n">
        <v>0</v>
      </c>
      <c r="C1228" t="n">
        <v>0</v>
      </c>
      <c r="D1228" t="n">
        <v>1426.670986889335</v>
      </c>
      <c r="E1228">
        <f>C1228&lt;0.05</f>
        <v/>
      </c>
      <c r="F1228">
        <f>A1228=$B$5</f>
        <v/>
      </c>
      <c r="G1228">
        <f>IF(E1228,A1228,10^9)</f>
        <v/>
      </c>
      <c r="H1228">
        <f>IF(E1228,D1228,10^9)</f>
        <v/>
      </c>
    </row>
    <row r="1229">
      <c r="A1229" t="n">
        <v>1221</v>
      </c>
      <c r="B1229" t="n">
        <v>0</v>
      </c>
      <c r="C1229" t="n">
        <v>0</v>
      </c>
      <c r="D1229" t="n">
        <v>1427.670986889335</v>
      </c>
      <c r="E1229">
        <f>C1229&lt;0.05</f>
        <v/>
      </c>
      <c r="F1229">
        <f>A1229=$B$5</f>
        <v/>
      </c>
      <c r="G1229">
        <f>IF(E1229,A1229,10^9)</f>
        <v/>
      </c>
      <c r="H1229">
        <f>IF(E1229,D1229,10^9)</f>
        <v/>
      </c>
    </row>
    <row r="1230">
      <c r="A1230" t="n">
        <v>1222</v>
      </c>
      <c r="B1230" t="n">
        <v>0</v>
      </c>
      <c r="C1230" t="n">
        <v>0</v>
      </c>
      <c r="D1230" t="n">
        <v>1428.670986889335</v>
      </c>
      <c r="E1230">
        <f>C1230&lt;0.05</f>
        <v/>
      </c>
      <c r="F1230">
        <f>A1230=$B$5</f>
        <v/>
      </c>
      <c r="G1230">
        <f>IF(E1230,A1230,10^9)</f>
        <v/>
      </c>
      <c r="H1230">
        <f>IF(E1230,D1230,10^9)</f>
        <v/>
      </c>
    </row>
    <row r="1231">
      <c r="A1231" t="n">
        <v>1223</v>
      </c>
      <c r="B1231" t="n">
        <v>0</v>
      </c>
      <c r="C1231" t="n">
        <v>0</v>
      </c>
      <c r="D1231" t="n">
        <v>1429.670986889335</v>
      </c>
      <c r="E1231">
        <f>C1231&lt;0.05</f>
        <v/>
      </c>
      <c r="F1231">
        <f>A1231=$B$5</f>
        <v/>
      </c>
      <c r="G1231">
        <f>IF(E1231,A1231,10^9)</f>
        <v/>
      </c>
      <c r="H1231">
        <f>IF(E1231,D1231,10^9)</f>
        <v/>
      </c>
    </row>
    <row r="1232">
      <c r="A1232" t="n">
        <v>1224</v>
      </c>
      <c r="B1232" t="n">
        <v>0</v>
      </c>
      <c r="C1232" t="n">
        <v>0</v>
      </c>
      <c r="D1232" t="n">
        <v>1430.670986889335</v>
      </c>
      <c r="E1232">
        <f>C1232&lt;0.05</f>
        <v/>
      </c>
      <c r="F1232">
        <f>A1232=$B$5</f>
        <v/>
      </c>
      <c r="G1232">
        <f>IF(E1232,A1232,10^9)</f>
        <v/>
      </c>
      <c r="H1232">
        <f>IF(E1232,D1232,10^9)</f>
        <v/>
      </c>
    </row>
    <row r="1233">
      <c r="A1233" t="n">
        <v>1225</v>
      </c>
      <c r="B1233" t="n">
        <v>0</v>
      </c>
      <c r="C1233" t="n">
        <v>0</v>
      </c>
      <c r="D1233" t="n">
        <v>1431.670986889335</v>
      </c>
      <c r="E1233">
        <f>C1233&lt;0.05</f>
        <v/>
      </c>
      <c r="F1233">
        <f>A1233=$B$5</f>
        <v/>
      </c>
      <c r="G1233">
        <f>IF(E1233,A1233,10^9)</f>
        <v/>
      </c>
      <c r="H1233">
        <f>IF(E1233,D1233,10^9)</f>
        <v/>
      </c>
    </row>
    <row r="1234">
      <c r="A1234" t="n">
        <v>1226</v>
      </c>
      <c r="B1234" t="n">
        <v>0</v>
      </c>
      <c r="C1234" t="n">
        <v>0</v>
      </c>
      <c r="D1234" t="n">
        <v>1432.670986889335</v>
      </c>
      <c r="E1234">
        <f>C1234&lt;0.05</f>
        <v/>
      </c>
      <c r="F1234">
        <f>A1234=$B$5</f>
        <v/>
      </c>
      <c r="G1234">
        <f>IF(E1234,A1234,10^9)</f>
        <v/>
      </c>
      <c r="H1234">
        <f>IF(E1234,D1234,10^9)</f>
        <v/>
      </c>
    </row>
    <row r="1235">
      <c r="A1235" t="n">
        <v>1227</v>
      </c>
      <c r="B1235" t="n">
        <v>0</v>
      </c>
      <c r="C1235" t="n">
        <v>0</v>
      </c>
      <c r="D1235" t="n">
        <v>1433.670986889335</v>
      </c>
      <c r="E1235">
        <f>C1235&lt;0.05</f>
        <v/>
      </c>
      <c r="F1235">
        <f>A1235=$B$5</f>
        <v/>
      </c>
      <c r="G1235">
        <f>IF(E1235,A1235,10^9)</f>
        <v/>
      </c>
      <c r="H1235">
        <f>IF(E1235,D1235,10^9)</f>
        <v/>
      </c>
    </row>
    <row r="1236">
      <c r="A1236" t="n">
        <v>1228</v>
      </c>
      <c r="B1236" t="n">
        <v>0</v>
      </c>
      <c r="C1236" t="n">
        <v>0</v>
      </c>
      <c r="D1236" t="n">
        <v>1434.670986889335</v>
      </c>
      <c r="E1236">
        <f>C1236&lt;0.05</f>
        <v/>
      </c>
      <c r="F1236">
        <f>A1236=$B$5</f>
        <v/>
      </c>
      <c r="G1236">
        <f>IF(E1236,A1236,10^9)</f>
        <v/>
      </c>
      <c r="H1236">
        <f>IF(E1236,D1236,10^9)</f>
        <v/>
      </c>
    </row>
    <row r="1237">
      <c r="A1237" t="n">
        <v>1229</v>
      </c>
      <c r="B1237" t="n">
        <v>0</v>
      </c>
      <c r="C1237" t="n">
        <v>0</v>
      </c>
      <c r="D1237" t="n">
        <v>1435.670986889335</v>
      </c>
      <c r="E1237">
        <f>C1237&lt;0.05</f>
        <v/>
      </c>
      <c r="F1237">
        <f>A1237=$B$5</f>
        <v/>
      </c>
      <c r="G1237">
        <f>IF(E1237,A1237,10^9)</f>
        <v/>
      </c>
      <c r="H1237">
        <f>IF(E1237,D1237,10^9)</f>
        <v/>
      </c>
    </row>
    <row r="1238">
      <c r="A1238" t="n">
        <v>1230</v>
      </c>
      <c r="B1238" t="n">
        <v>0</v>
      </c>
      <c r="C1238" t="n">
        <v>0</v>
      </c>
      <c r="D1238" t="n">
        <v>1436.670986889335</v>
      </c>
      <c r="E1238">
        <f>C1238&lt;0.05</f>
        <v/>
      </c>
      <c r="F1238">
        <f>A1238=$B$5</f>
        <v/>
      </c>
      <c r="G1238">
        <f>IF(E1238,A1238,10^9)</f>
        <v/>
      </c>
      <c r="H1238">
        <f>IF(E1238,D1238,10^9)</f>
        <v/>
      </c>
    </row>
    <row r="1239">
      <c r="A1239" t="n">
        <v>1231</v>
      </c>
      <c r="B1239" t="n">
        <v>0</v>
      </c>
      <c r="C1239" t="n">
        <v>0</v>
      </c>
      <c r="D1239" t="n">
        <v>1437.670986889335</v>
      </c>
      <c r="E1239">
        <f>C1239&lt;0.05</f>
        <v/>
      </c>
      <c r="F1239">
        <f>A1239=$B$5</f>
        <v/>
      </c>
      <c r="G1239">
        <f>IF(E1239,A1239,10^9)</f>
        <v/>
      </c>
      <c r="H1239">
        <f>IF(E1239,D1239,10^9)</f>
        <v/>
      </c>
    </row>
    <row r="1240">
      <c r="A1240" t="n">
        <v>1232</v>
      </c>
      <c r="B1240" t="n">
        <v>0</v>
      </c>
      <c r="C1240" t="n">
        <v>0</v>
      </c>
      <c r="D1240" t="n">
        <v>1438.670986889335</v>
      </c>
      <c r="E1240">
        <f>C1240&lt;0.05</f>
        <v/>
      </c>
      <c r="F1240">
        <f>A1240=$B$5</f>
        <v/>
      </c>
      <c r="G1240">
        <f>IF(E1240,A1240,10^9)</f>
        <v/>
      </c>
      <c r="H1240">
        <f>IF(E1240,D1240,10^9)</f>
        <v/>
      </c>
    </row>
    <row r="1241">
      <c r="A1241" t="n">
        <v>1233</v>
      </c>
      <c r="B1241" t="n">
        <v>0</v>
      </c>
      <c r="C1241" t="n">
        <v>0</v>
      </c>
      <c r="D1241" t="n">
        <v>1439.670986889335</v>
      </c>
      <c r="E1241">
        <f>C1241&lt;0.05</f>
        <v/>
      </c>
      <c r="F1241">
        <f>A1241=$B$5</f>
        <v/>
      </c>
      <c r="G1241">
        <f>IF(E1241,A1241,10^9)</f>
        <v/>
      </c>
      <c r="H1241">
        <f>IF(E1241,D1241,10^9)</f>
        <v/>
      </c>
    </row>
    <row r="1242">
      <c r="A1242" t="n">
        <v>1234</v>
      </c>
      <c r="B1242" t="n">
        <v>0</v>
      </c>
      <c r="C1242" t="n">
        <v>0</v>
      </c>
      <c r="D1242" t="n">
        <v>1440.670986889335</v>
      </c>
      <c r="E1242">
        <f>C1242&lt;0.05</f>
        <v/>
      </c>
      <c r="F1242">
        <f>A1242=$B$5</f>
        <v/>
      </c>
      <c r="G1242">
        <f>IF(E1242,A1242,10^9)</f>
        <v/>
      </c>
      <c r="H1242">
        <f>IF(E1242,D1242,10^9)</f>
        <v/>
      </c>
    </row>
    <row r="1243">
      <c r="A1243" t="n">
        <v>1235</v>
      </c>
      <c r="B1243" t="n">
        <v>0</v>
      </c>
      <c r="C1243" t="n">
        <v>0</v>
      </c>
      <c r="D1243" t="n">
        <v>1441.670986889335</v>
      </c>
      <c r="E1243">
        <f>C1243&lt;0.05</f>
        <v/>
      </c>
      <c r="F1243">
        <f>A1243=$B$5</f>
        <v/>
      </c>
      <c r="G1243">
        <f>IF(E1243,A1243,10^9)</f>
        <v/>
      </c>
      <c r="H1243">
        <f>IF(E1243,D1243,10^9)</f>
        <v/>
      </c>
    </row>
    <row r="1244">
      <c r="A1244" t="n">
        <v>1236</v>
      </c>
      <c r="B1244" t="n">
        <v>0</v>
      </c>
      <c r="C1244" t="n">
        <v>0</v>
      </c>
      <c r="D1244" t="n">
        <v>1442.670986889335</v>
      </c>
      <c r="E1244">
        <f>C1244&lt;0.05</f>
        <v/>
      </c>
      <c r="F1244">
        <f>A1244=$B$5</f>
        <v/>
      </c>
      <c r="G1244">
        <f>IF(E1244,A1244,10^9)</f>
        <v/>
      </c>
      <c r="H1244">
        <f>IF(E1244,D1244,10^9)</f>
        <v/>
      </c>
    </row>
    <row r="1245">
      <c r="A1245" t="n">
        <v>1237</v>
      </c>
      <c r="B1245" t="n">
        <v>0</v>
      </c>
      <c r="C1245" t="n">
        <v>0</v>
      </c>
      <c r="D1245" t="n">
        <v>1443.670986889335</v>
      </c>
      <c r="E1245">
        <f>C1245&lt;0.05</f>
        <v/>
      </c>
      <c r="F1245">
        <f>A1245=$B$5</f>
        <v/>
      </c>
      <c r="G1245">
        <f>IF(E1245,A1245,10^9)</f>
        <v/>
      </c>
      <c r="H1245">
        <f>IF(E1245,D1245,10^9)</f>
        <v/>
      </c>
    </row>
    <row r="1246">
      <c r="A1246" t="n">
        <v>1238</v>
      </c>
      <c r="B1246" t="n">
        <v>0</v>
      </c>
      <c r="C1246" t="n">
        <v>0</v>
      </c>
      <c r="D1246" t="n">
        <v>1444.670986889335</v>
      </c>
      <c r="E1246">
        <f>C1246&lt;0.05</f>
        <v/>
      </c>
      <c r="F1246">
        <f>A1246=$B$5</f>
        <v/>
      </c>
      <c r="G1246">
        <f>IF(E1246,A1246,10^9)</f>
        <v/>
      </c>
      <c r="H1246">
        <f>IF(E1246,D1246,10^9)</f>
        <v/>
      </c>
    </row>
    <row r="1247">
      <c r="A1247" t="n">
        <v>1239</v>
      </c>
      <c r="B1247" t="n">
        <v>0</v>
      </c>
      <c r="C1247" t="n">
        <v>0</v>
      </c>
      <c r="D1247" t="n">
        <v>1445.670986889335</v>
      </c>
      <c r="E1247">
        <f>C1247&lt;0.05</f>
        <v/>
      </c>
      <c r="F1247">
        <f>A1247=$B$5</f>
        <v/>
      </c>
      <c r="G1247">
        <f>IF(E1247,A1247,10^9)</f>
        <v/>
      </c>
      <c r="H1247">
        <f>IF(E1247,D1247,10^9)</f>
        <v/>
      </c>
    </row>
    <row r="1248">
      <c r="A1248" t="n">
        <v>1240</v>
      </c>
      <c r="B1248" t="n">
        <v>0</v>
      </c>
      <c r="C1248" t="n">
        <v>0</v>
      </c>
      <c r="D1248" t="n">
        <v>1446.670986889335</v>
      </c>
      <c r="E1248">
        <f>C1248&lt;0.05</f>
        <v/>
      </c>
      <c r="F1248">
        <f>A1248=$B$5</f>
        <v/>
      </c>
      <c r="G1248">
        <f>IF(E1248,A1248,10^9)</f>
        <v/>
      </c>
      <c r="H1248">
        <f>IF(E1248,D1248,10^9)</f>
        <v/>
      </c>
    </row>
    <row r="1249">
      <c r="A1249" t="n">
        <v>1241</v>
      </c>
      <c r="B1249" t="n">
        <v>0</v>
      </c>
      <c r="C1249" t="n">
        <v>0</v>
      </c>
      <c r="D1249" t="n">
        <v>1447.670986889335</v>
      </c>
      <c r="E1249">
        <f>C1249&lt;0.05</f>
        <v/>
      </c>
      <c r="F1249">
        <f>A1249=$B$5</f>
        <v/>
      </c>
      <c r="G1249">
        <f>IF(E1249,A1249,10^9)</f>
        <v/>
      </c>
      <c r="H1249">
        <f>IF(E1249,D1249,10^9)</f>
        <v/>
      </c>
    </row>
    <row r="1250">
      <c r="A1250" t="n">
        <v>1242</v>
      </c>
      <c r="B1250" t="n">
        <v>0</v>
      </c>
      <c r="C1250" t="n">
        <v>0</v>
      </c>
      <c r="D1250" t="n">
        <v>1448.670986889335</v>
      </c>
      <c r="E1250">
        <f>C1250&lt;0.05</f>
        <v/>
      </c>
      <c r="F1250">
        <f>A1250=$B$5</f>
        <v/>
      </c>
      <c r="G1250">
        <f>IF(E1250,A1250,10^9)</f>
        <v/>
      </c>
      <c r="H1250">
        <f>IF(E1250,D1250,10^9)</f>
        <v/>
      </c>
    </row>
    <row r="1251">
      <c r="A1251" t="n">
        <v>1243</v>
      </c>
      <c r="B1251" t="n">
        <v>0</v>
      </c>
      <c r="C1251" t="n">
        <v>0</v>
      </c>
      <c r="D1251" t="n">
        <v>1449.670986889335</v>
      </c>
      <c r="E1251">
        <f>C1251&lt;0.05</f>
        <v/>
      </c>
      <c r="F1251">
        <f>A1251=$B$5</f>
        <v/>
      </c>
      <c r="G1251">
        <f>IF(E1251,A1251,10^9)</f>
        <v/>
      </c>
      <c r="H1251">
        <f>IF(E1251,D1251,10^9)</f>
        <v/>
      </c>
    </row>
    <row r="1252">
      <c r="A1252" t="n">
        <v>1244</v>
      </c>
      <c r="B1252" t="n">
        <v>0</v>
      </c>
      <c r="C1252" t="n">
        <v>0</v>
      </c>
      <c r="D1252" t="n">
        <v>1450.670986889335</v>
      </c>
      <c r="E1252">
        <f>C1252&lt;0.05</f>
        <v/>
      </c>
      <c r="F1252">
        <f>A1252=$B$5</f>
        <v/>
      </c>
      <c r="G1252">
        <f>IF(E1252,A1252,10^9)</f>
        <v/>
      </c>
      <c r="H1252">
        <f>IF(E1252,D1252,10^9)</f>
        <v/>
      </c>
    </row>
    <row r="1253">
      <c r="A1253" t="n">
        <v>1245</v>
      </c>
      <c r="B1253" t="n">
        <v>0</v>
      </c>
      <c r="C1253" t="n">
        <v>0</v>
      </c>
      <c r="D1253" t="n">
        <v>1451.670986889335</v>
      </c>
      <c r="E1253">
        <f>C1253&lt;0.05</f>
        <v/>
      </c>
      <c r="F1253">
        <f>A1253=$B$5</f>
        <v/>
      </c>
      <c r="G1253">
        <f>IF(E1253,A1253,10^9)</f>
        <v/>
      </c>
      <c r="H1253">
        <f>IF(E1253,D1253,10^9)</f>
        <v/>
      </c>
    </row>
    <row r="1254">
      <c r="A1254" t="n">
        <v>1246</v>
      </c>
      <c r="B1254" t="n">
        <v>0</v>
      </c>
      <c r="C1254" t="n">
        <v>0</v>
      </c>
      <c r="D1254" t="n">
        <v>1452.670986889335</v>
      </c>
      <c r="E1254">
        <f>C1254&lt;0.05</f>
        <v/>
      </c>
      <c r="F1254">
        <f>A1254=$B$5</f>
        <v/>
      </c>
      <c r="G1254">
        <f>IF(E1254,A1254,10^9)</f>
        <v/>
      </c>
      <c r="H1254">
        <f>IF(E1254,D1254,10^9)</f>
        <v/>
      </c>
    </row>
    <row r="1255">
      <c r="A1255" t="n">
        <v>1247</v>
      </c>
      <c r="B1255" t="n">
        <v>0</v>
      </c>
      <c r="C1255" t="n">
        <v>0</v>
      </c>
      <c r="D1255" t="n">
        <v>1453.670986889335</v>
      </c>
      <c r="E1255">
        <f>C1255&lt;0.05</f>
        <v/>
      </c>
      <c r="F1255">
        <f>A1255=$B$5</f>
        <v/>
      </c>
      <c r="G1255">
        <f>IF(E1255,A1255,10^9)</f>
        <v/>
      </c>
      <c r="H1255">
        <f>IF(E1255,D1255,10^9)</f>
        <v/>
      </c>
    </row>
    <row r="1256">
      <c r="A1256" t="n">
        <v>1248</v>
      </c>
      <c r="B1256" t="n">
        <v>0</v>
      </c>
      <c r="C1256" t="n">
        <v>0</v>
      </c>
      <c r="D1256" t="n">
        <v>1454.670986889335</v>
      </c>
      <c r="E1256">
        <f>C1256&lt;0.05</f>
        <v/>
      </c>
      <c r="F1256">
        <f>A1256=$B$5</f>
        <v/>
      </c>
      <c r="G1256">
        <f>IF(E1256,A1256,10^9)</f>
        <v/>
      </c>
      <c r="H1256">
        <f>IF(E1256,D1256,10^9)</f>
        <v/>
      </c>
    </row>
    <row r="1257">
      <c r="A1257" t="n">
        <v>1249</v>
      </c>
      <c r="B1257" t="n">
        <v>0</v>
      </c>
      <c r="C1257" t="n">
        <v>0</v>
      </c>
      <c r="D1257" t="n">
        <v>1455.670986889335</v>
      </c>
      <c r="E1257">
        <f>C1257&lt;0.05</f>
        <v/>
      </c>
      <c r="F1257">
        <f>A1257=$B$5</f>
        <v/>
      </c>
      <c r="G1257">
        <f>IF(E1257,A1257,10^9)</f>
        <v/>
      </c>
      <c r="H1257">
        <f>IF(E1257,D1257,10^9)</f>
        <v/>
      </c>
    </row>
    <row r="1258">
      <c r="A1258" t="n">
        <v>1250</v>
      </c>
      <c r="B1258" t="n">
        <v>0</v>
      </c>
      <c r="C1258" t="n">
        <v>0</v>
      </c>
      <c r="D1258" t="n">
        <v>1456.670986889335</v>
      </c>
      <c r="E1258">
        <f>C1258&lt;0.05</f>
        <v/>
      </c>
      <c r="F1258">
        <f>A1258=$B$5</f>
        <v/>
      </c>
      <c r="G1258">
        <f>IF(E1258,A1258,10^9)</f>
        <v/>
      </c>
      <c r="H1258">
        <f>IF(E1258,D1258,10^9)</f>
        <v/>
      </c>
    </row>
    <row r="1259">
      <c r="A1259" t="n">
        <v>1251</v>
      </c>
      <c r="B1259" t="n">
        <v>0</v>
      </c>
      <c r="C1259" t="n">
        <v>0</v>
      </c>
      <c r="D1259" t="n">
        <v>1457.670986889335</v>
      </c>
      <c r="E1259">
        <f>C1259&lt;0.05</f>
        <v/>
      </c>
      <c r="F1259">
        <f>A1259=$B$5</f>
        <v/>
      </c>
      <c r="G1259">
        <f>IF(E1259,A1259,10^9)</f>
        <v/>
      </c>
      <c r="H1259">
        <f>IF(E1259,D1259,10^9)</f>
        <v/>
      </c>
    </row>
    <row r="1260">
      <c r="A1260" t="n">
        <v>1252</v>
      </c>
      <c r="B1260" t="n">
        <v>0</v>
      </c>
      <c r="C1260" t="n">
        <v>0</v>
      </c>
      <c r="D1260" t="n">
        <v>1458.670986889335</v>
      </c>
      <c r="E1260">
        <f>C1260&lt;0.05</f>
        <v/>
      </c>
      <c r="F1260">
        <f>A1260=$B$5</f>
        <v/>
      </c>
      <c r="G1260">
        <f>IF(E1260,A1260,10^9)</f>
        <v/>
      </c>
      <c r="H1260">
        <f>IF(E1260,D1260,10^9)</f>
        <v/>
      </c>
    </row>
    <row r="1261">
      <c r="A1261" t="n">
        <v>1253</v>
      </c>
      <c r="B1261" t="n">
        <v>0</v>
      </c>
      <c r="C1261" t="n">
        <v>0</v>
      </c>
      <c r="D1261" t="n">
        <v>1459.670986889335</v>
      </c>
      <c r="E1261">
        <f>C1261&lt;0.05</f>
        <v/>
      </c>
      <c r="F1261">
        <f>A1261=$B$5</f>
        <v/>
      </c>
      <c r="G1261">
        <f>IF(E1261,A1261,10^9)</f>
        <v/>
      </c>
      <c r="H1261">
        <f>IF(E1261,D1261,10^9)</f>
        <v/>
      </c>
    </row>
    <row r="1262">
      <c r="A1262" t="n">
        <v>1254</v>
      </c>
      <c r="B1262" t="n">
        <v>0</v>
      </c>
      <c r="C1262" t="n">
        <v>0</v>
      </c>
      <c r="D1262" t="n">
        <v>1460.670986889335</v>
      </c>
      <c r="E1262">
        <f>C1262&lt;0.05</f>
        <v/>
      </c>
      <c r="F1262">
        <f>A1262=$B$5</f>
        <v/>
      </c>
      <c r="G1262">
        <f>IF(E1262,A1262,10^9)</f>
        <v/>
      </c>
      <c r="H1262">
        <f>IF(E1262,D1262,10^9)</f>
        <v/>
      </c>
    </row>
    <row r="1263">
      <c r="A1263" t="n">
        <v>1255</v>
      </c>
      <c r="B1263" t="n">
        <v>0</v>
      </c>
      <c r="C1263" t="n">
        <v>0</v>
      </c>
      <c r="D1263" t="n">
        <v>1461.670986889335</v>
      </c>
      <c r="E1263">
        <f>C1263&lt;0.05</f>
        <v/>
      </c>
      <c r="F1263">
        <f>A1263=$B$5</f>
        <v/>
      </c>
      <c r="G1263">
        <f>IF(E1263,A1263,10^9)</f>
        <v/>
      </c>
      <c r="H1263">
        <f>IF(E1263,D1263,10^9)</f>
        <v/>
      </c>
    </row>
    <row r="1264">
      <c r="A1264" t="n">
        <v>1256</v>
      </c>
      <c r="B1264" t="n">
        <v>0</v>
      </c>
      <c r="C1264" t="n">
        <v>0</v>
      </c>
      <c r="D1264" t="n">
        <v>1462.670986889335</v>
      </c>
      <c r="E1264">
        <f>C1264&lt;0.05</f>
        <v/>
      </c>
      <c r="F1264">
        <f>A1264=$B$5</f>
        <v/>
      </c>
      <c r="G1264">
        <f>IF(E1264,A1264,10^9)</f>
        <v/>
      </c>
      <c r="H1264">
        <f>IF(E1264,D1264,10^9)</f>
        <v/>
      </c>
    </row>
    <row r="1265">
      <c r="A1265" t="n">
        <v>1257</v>
      </c>
      <c r="B1265" t="n">
        <v>0</v>
      </c>
      <c r="C1265" t="n">
        <v>0</v>
      </c>
      <c r="D1265" t="n">
        <v>1463.670986889335</v>
      </c>
      <c r="E1265">
        <f>C1265&lt;0.05</f>
        <v/>
      </c>
      <c r="F1265">
        <f>A1265=$B$5</f>
        <v/>
      </c>
      <c r="G1265">
        <f>IF(E1265,A1265,10^9)</f>
        <v/>
      </c>
      <c r="H1265">
        <f>IF(E1265,D1265,10^9)</f>
        <v/>
      </c>
    </row>
    <row r="1266">
      <c r="A1266" t="n">
        <v>1258</v>
      </c>
      <c r="B1266" t="n">
        <v>0</v>
      </c>
      <c r="C1266" t="n">
        <v>0</v>
      </c>
      <c r="D1266" t="n">
        <v>1464.670986889335</v>
      </c>
      <c r="E1266">
        <f>C1266&lt;0.05</f>
        <v/>
      </c>
      <c r="F1266">
        <f>A1266=$B$5</f>
        <v/>
      </c>
      <c r="G1266">
        <f>IF(E1266,A1266,10^9)</f>
        <v/>
      </c>
      <c r="H1266">
        <f>IF(E1266,D1266,10^9)</f>
        <v/>
      </c>
    </row>
    <row r="1267">
      <c r="A1267" t="n">
        <v>1259</v>
      </c>
      <c r="B1267" t="n">
        <v>0</v>
      </c>
      <c r="C1267" t="n">
        <v>0</v>
      </c>
      <c r="D1267" t="n">
        <v>1465.670986889335</v>
      </c>
      <c r="E1267">
        <f>C1267&lt;0.05</f>
        <v/>
      </c>
      <c r="F1267">
        <f>A1267=$B$5</f>
        <v/>
      </c>
      <c r="G1267">
        <f>IF(E1267,A1267,10^9)</f>
        <v/>
      </c>
      <c r="H1267">
        <f>IF(E1267,D1267,10^9)</f>
        <v/>
      </c>
    </row>
    <row r="1268">
      <c r="A1268" t="n">
        <v>1260</v>
      </c>
      <c r="B1268" t="n">
        <v>0</v>
      </c>
      <c r="C1268" t="n">
        <v>0</v>
      </c>
      <c r="D1268" t="n">
        <v>1466.670986889335</v>
      </c>
      <c r="E1268">
        <f>C1268&lt;0.05</f>
        <v/>
      </c>
      <c r="F1268">
        <f>A1268=$B$5</f>
        <v/>
      </c>
      <c r="G1268">
        <f>IF(E1268,A1268,10^9)</f>
        <v/>
      </c>
      <c r="H1268">
        <f>IF(E1268,D1268,10^9)</f>
        <v/>
      </c>
    </row>
    <row r="1269">
      <c r="A1269" t="n">
        <v>1261</v>
      </c>
      <c r="B1269" t="n">
        <v>0</v>
      </c>
      <c r="C1269" t="n">
        <v>0</v>
      </c>
      <c r="D1269" t="n">
        <v>1467.670986889335</v>
      </c>
      <c r="E1269">
        <f>C1269&lt;0.05</f>
        <v/>
      </c>
      <c r="F1269">
        <f>A1269=$B$5</f>
        <v/>
      </c>
      <c r="G1269">
        <f>IF(E1269,A1269,10^9)</f>
        <v/>
      </c>
      <c r="H1269">
        <f>IF(E1269,D1269,10^9)</f>
        <v/>
      </c>
    </row>
    <row r="1270">
      <c r="A1270" t="n">
        <v>1262</v>
      </c>
      <c r="B1270" t="n">
        <v>0</v>
      </c>
      <c r="C1270" t="n">
        <v>0</v>
      </c>
      <c r="D1270" t="n">
        <v>1468.670986889335</v>
      </c>
      <c r="E1270">
        <f>C1270&lt;0.05</f>
        <v/>
      </c>
      <c r="F1270">
        <f>A1270=$B$5</f>
        <v/>
      </c>
      <c r="G1270">
        <f>IF(E1270,A1270,10^9)</f>
        <v/>
      </c>
      <c r="H1270">
        <f>IF(E1270,D1270,10^9)</f>
        <v/>
      </c>
    </row>
    <row r="1271">
      <c r="A1271" t="n">
        <v>1263</v>
      </c>
      <c r="B1271" t="n">
        <v>0</v>
      </c>
      <c r="C1271" t="n">
        <v>0</v>
      </c>
      <c r="D1271" t="n">
        <v>1469.670986889335</v>
      </c>
      <c r="E1271">
        <f>C1271&lt;0.05</f>
        <v/>
      </c>
      <c r="F1271">
        <f>A1271=$B$5</f>
        <v/>
      </c>
      <c r="G1271">
        <f>IF(E1271,A1271,10^9)</f>
        <v/>
      </c>
      <c r="H1271">
        <f>IF(E1271,D1271,10^9)</f>
        <v/>
      </c>
    </row>
    <row r="1272">
      <c r="A1272" t="n">
        <v>1264</v>
      </c>
      <c r="B1272" t="n">
        <v>0</v>
      </c>
      <c r="C1272" t="n">
        <v>0</v>
      </c>
      <c r="D1272" t="n">
        <v>1470.670986889335</v>
      </c>
      <c r="E1272">
        <f>C1272&lt;0.05</f>
        <v/>
      </c>
      <c r="F1272">
        <f>A1272=$B$5</f>
        <v/>
      </c>
      <c r="G1272">
        <f>IF(E1272,A1272,10^9)</f>
        <v/>
      </c>
      <c r="H1272">
        <f>IF(E1272,D1272,10^9)</f>
        <v/>
      </c>
    </row>
    <row r="1273">
      <c r="A1273" t="n">
        <v>1265</v>
      </c>
      <c r="B1273" t="n">
        <v>0</v>
      </c>
      <c r="C1273" t="n">
        <v>0</v>
      </c>
      <c r="D1273" t="n">
        <v>1471.670986889335</v>
      </c>
      <c r="E1273">
        <f>C1273&lt;0.05</f>
        <v/>
      </c>
      <c r="F1273">
        <f>A1273=$B$5</f>
        <v/>
      </c>
      <c r="G1273">
        <f>IF(E1273,A1273,10^9)</f>
        <v/>
      </c>
      <c r="H1273">
        <f>IF(E1273,D1273,10^9)</f>
        <v/>
      </c>
    </row>
    <row r="1274">
      <c r="A1274" t="n">
        <v>1266</v>
      </c>
      <c r="B1274" t="n">
        <v>0</v>
      </c>
      <c r="C1274" t="n">
        <v>0</v>
      </c>
      <c r="D1274" t="n">
        <v>1472.670986889335</v>
      </c>
      <c r="E1274">
        <f>C1274&lt;0.05</f>
        <v/>
      </c>
      <c r="F1274">
        <f>A1274=$B$5</f>
        <v/>
      </c>
      <c r="G1274">
        <f>IF(E1274,A1274,10^9)</f>
        <v/>
      </c>
      <c r="H1274">
        <f>IF(E1274,D1274,10^9)</f>
        <v/>
      </c>
    </row>
    <row r="1275">
      <c r="A1275" t="n">
        <v>1267</v>
      </c>
      <c r="B1275" t="n">
        <v>0</v>
      </c>
      <c r="C1275" t="n">
        <v>0</v>
      </c>
      <c r="D1275" t="n">
        <v>1473.670986889335</v>
      </c>
      <c r="E1275">
        <f>C1275&lt;0.05</f>
        <v/>
      </c>
      <c r="F1275">
        <f>A1275=$B$5</f>
        <v/>
      </c>
      <c r="G1275">
        <f>IF(E1275,A1275,10^9)</f>
        <v/>
      </c>
      <c r="H1275">
        <f>IF(E1275,D1275,10^9)</f>
        <v/>
      </c>
    </row>
    <row r="1276">
      <c r="A1276" t="n">
        <v>1268</v>
      </c>
      <c r="B1276" t="n">
        <v>0</v>
      </c>
      <c r="C1276" t="n">
        <v>0</v>
      </c>
      <c r="D1276" t="n">
        <v>1474.670986889335</v>
      </c>
      <c r="E1276">
        <f>C1276&lt;0.05</f>
        <v/>
      </c>
      <c r="F1276">
        <f>A1276=$B$5</f>
        <v/>
      </c>
      <c r="G1276">
        <f>IF(E1276,A1276,10^9)</f>
        <v/>
      </c>
      <c r="H1276">
        <f>IF(E1276,D1276,10^9)</f>
        <v/>
      </c>
    </row>
    <row r="1277">
      <c r="A1277" t="n">
        <v>1269</v>
      </c>
      <c r="B1277" t="n">
        <v>0</v>
      </c>
      <c r="C1277" t="n">
        <v>0</v>
      </c>
      <c r="D1277" t="n">
        <v>1475.670986889335</v>
      </c>
      <c r="E1277">
        <f>C1277&lt;0.05</f>
        <v/>
      </c>
      <c r="F1277">
        <f>A1277=$B$5</f>
        <v/>
      </c>
      <c r="G1277">
        <f>IF(E1277,A1277,10^9)</f>
        <v/>
      </c>
      <c r="H1277">
        <f>IF(E1277,D1277,10^9)</f>
        <v/>
      </c>
    </row>
    <row r="1278">
      <c r="A1278" t="n">
        <v>1270</v>
      </c>
      <c r="B1278" t="n">
        <v>0</v>
      </c>
      <c r="C1278" t="n">
        <v>0</v>
      </c>
      <c r="D1278" t="n">
        <v>1476.670986889335</v>
      </c>
      <c r="E1278">
        <f>C1278&lt;0.05</f>
        <v/>
      </c>
      <c r="F1278">
        <f>A1278=$B$5</f>
        <v/>
      </c>
      <c r="G1278">
        <f>IF(E1278,A1278,10^9)</f>
        <v/>
      </c>
      <c r="H1278">
        <f>IF(E1278,D1278,10^9)</f>
        <v/>
      </c>
    </row>
    <row r="1279">
      <c r="A1279" t="n">
        <v>1271</v>
      </c>
      <c r="B1279" t="n">
        <v>0</v>
      </c>
      <c r="C1279" t="n">
        <v>0</v>
      </c>
      <c r="D1279" t="n">
        <v>1477.670986889335</v>
      </c>
      <c r="E1279">
        <f>C1279&lt;0.05</f>
        <v/>
      </c>
      <c r="F1279">
        <f>A1279=$B$5</f>
        <v/>
      </c>
      <c r="G1279">
        <f>IF(E1279,A1279,10^9)</f>
        <v/>
      </c>
      <c r="H1279">
        <f>IF(E1279,D1279,10^9)</f>
        <v/>
      </c>
    </row>
    <row r="1280">
      <c r="A1280" t="n">
        <v>1272</v>
      </c>
      <c r="B1280" t="n">
        <v>0</v>
      </c>
      <c r="C1280" t="n">
        <v>0</v>
      </c>
      <c r="D1280" t="n">
        <v>1478.670986889335</v>
      </c>
      <c r="E1280">
        <f>C1280&lt;0.05</f>
        <v/>
      </c>
      <c r="F1280">
        <f>A1280=$B$5</f>
        <v/>
      </c>
      <c r="G1280">
        <f>IF(E1280,A1280,10^9)</f>
        <v/>
      </c>
      <c r="H1280">
        <f>IF(E1280,D1280,10^9)</f>
        <v/>
      </c>
    </row>
    <row r="1281">
      <c r="A1281" t="n">
        <v>1273</v>
      </c>
      <c r="B1281" t="n">
        <v>0</v>
      </c>
      <c r="C1281" t="n">
        <v>0</v>
      </c>
      <c r="D1281" t="n">
        <v>1479.670986889335</v>
      </c>
      <c r="E1281">
        <f>C1281&lt;0.05</f>
        <v/>
      </c>
      <c r="F1281">
        <f>A1281=$B$5</f>
        <v/>
      </c>
      <c r="G1281">
        <f>IF(E1281,A1281,10^9)</f>
        <v/>
      </c>
      <c r="H1281">
        <f>IF(E1281,D1281,10^9)</f>
        <v/>
      </c>
    </row>
    <row r="1282">
      <c r="A1282" t="n">
        <v>1274</v>
      </c>
      <c r="B1282" t="n">
        <v>0</v>
      </c>
      <c r="C1282" t="n">
        <v>0</v>
      </c>
      <c r="D1282" t="n">
        <v>1480.670986889335</v>
      </c>
      <c r="E1282">
        <f>C1282&lt;0.05</f>
        <v/>
      </c>
      <c r="F1282">
        <f>A1282=$B$5</f>
        <v/>
      </c>
      <c r="G1282">
        <f>IF(E1282,A1282,10^9)</f>
        <v/>
      </c>
      <c r="H1282">
        <f>IF(E1282,D1282,10^9)</f>
        <v/>
      </c>
    </row>
    <row r="1283">
      <c r="A1283" t="n">
        <v>1275</v>
      </c>
      <c r="B1283" t="n">
        <v>0</v>
      </c>
      <c r="C1283" t="n">
        <v>0</v>
      </c>
      <c r="D1283" t="n">
        <v>1481.670986889335</v>
      </c>
      <c r="E1283">
        <f>C1283&lt;0.05</f>
        <v/>
      </c>
      <c r="F1283">
        <f>A1283=$B$5</f>
        <v/>
      </c>
      <c r="G1283">
        <f>IF(E1283,A1283,10^9)</f>
        <v/>
      </c>
      <c r="H1283">
        <f>IF(E1283,D1283,10^9)</f>
        <v/>
      </c>
    </row>
    <row r="1284">
      <c r="A1284" t="n">
        <v>1276</v>
      </c>
      <c r="B1284" t="n">
        <v>0</v>
      </c>
      <c r="C1284" t="n">
        <v>0</v>
      </c>
      <c r="D1284" t="n">
        <v>1482.670986889335</v>
      </c>
      <c r="E1284">
        <f>C1284&lt;0.05</f>
        <v/>
      </c>
      <c r="F1284">
        <f>A1284=$B$5</f>
        <v/>
      </c>
      <c r="G1284">
        <f>IF(E1284,A1284,10^9)</f>
        <v/>
      </c>
      <c r="H1284">
        <f>IF(E1284,D1284,10^9)</f>
        <v/>
      </c>
    </row>
    <row r="1285">
      <c r="A1285" t="n">
        <v>1277</v>
      </c>
      <c r="B1285" t="n">
        <v>0</v>
      </c>
      <c r="C1285" t="n">
        <v>0</v>
      </c>
      <c r="D1285" t="n">
        <v>1483.670986889335</v>
      </c>
      <c r="E1285">
        <f>C1285&lt;0.05</f>
        <v/>
      </c>
      <c r="F1285">
        <f>A1285=$B$5</f>
        <v/>
      </c>
      <c r="G1285">
        <f>IF(E1285,A1285,10^9)</f>
        <v/>
      </c>
      <c r="H1285">
        <f>IF(E1285,D1285,10^9)</f>
        <v/>
      </c>
    </row>
    <row r="1286">
      <c r="A1286" t="n">
        <v>1278</v>
      </c>
      <c r="B1286" t="n">
        <v>0</v>
      </c>
      <c r="C1286" t="n">
        <v>0</v>
      </c>
      <c r="D1286" t="n">
        <v>1484.670986889335</v>
      </c>
      <c r="E1286">
        <f>C1286&lt;0.05</f>
        <v/>
      </c>
      <c r="F1286">
        <f>A1286=$B$5</f>
        <v/>
      </c>
      <c r="G1286">
        <f>IF(E1286,A1286,10^9)</f>
        <v/>
      </c>
      <c r="H1286">
        <f>IF(E1286,D1286,10^9)</f>
        <v/>
      </c>
    </row>
    <row r="1287">
      <c r="A1287" t="n">
        <v>1279</v>
      </c>
      <c r="B1287" t="n">
        <v>0</v>
      </c>
      <c r="C1287" t="n">
        <v>0</v>
      </c>
      <c r="D1287" t="n">
        <v>1485.670986889335</v>
      </c>
      <c r="E1287">
        <f>C1287&lt;0.05</f>
        <v/>
      </c>
      <c r="F1287">
        <f>A1287=$B$5</f>
        <v/>
      </c>
      <c r="G1287">
        <f>IF(E1287,A1287,10^9)</f>
        <v/>
      </c>
      <c r="H1287">
        <f>IF(E1287,D1287,10^9)</f>
        <v/>
      </c>
    </row>
    <row r="1288">
      <c r="A1288" t="n">
        <v>1280</v>
      </c>
      <c r="B1288" t="n">
        <v>0</v>
      </c>
      <c r="C1288" t="n">
        <v>0</v>
      </c>
      <c r="D1288" t="n">
        <v>1486.670986889335</v>
      </c>
      <c r="E1288">
        <f>C1288&lt;0.05</f>
        <v/>
      </c>
      <c r="F1288">
        <f>A1288=$B$5</f>
        <v/>
      </c>
      <c r="G1288">
        <f>IF(E1288,A1288,10^9)</f>
        <v/>
      </c>
      <c r="H1288">
        <f>IF(E1288,D1288,10^9)</f>
        <v/>
      </c>
    </row>
    <row r="1289">
      <c r="A1289" t="n">
        <v>1281</v>
      </c>
      <c r="B1289" t="n">
        <v>0</v>
      </c>
      <c r="C1289" t="n">
        <v>0</v>
      </c>
      <c r="D1289" t="n">
        <v>1487.670986889335</v>
      </c>
      <c r="E1289">
        <f>C1289&lt;0.05</f>
        <v/>
      </c>
      <c r="F1289">
        <f>A1289=$B$5</f>
        <v/>
      </c>
      <c r="G1289">
        <f>IF(E1289,A1289,10^9)</f>
        <v/>
      </c>
      <c r="H1289">
        <f>IF(E1289,D1289,10^9)</f>
        <v/>
      </c>
    </row>
    <row r="1290">
      <c r="A1290" t="n">
        <v>1282</v>
      </c>
      <c r="B1290" t="n">
        <v>0</v>
      </c>
      <c r="C1290" t="n">
        <v>0</v>
      </c>
      <c r="D1290" t="n">
        <v>1488.670986889335</v>
      </c>
      <c r="E1290">
        <f>C1290&lt;0.05</f>
        <v/>
      </c>
      <c r="F1290">
        <f>A1290=$B$5</f>
        <v/>
      </c>
      <c r="G1290">
        <f>IF(E1290,A1290,10^9)</f>
        <v/>
      </c>
      <c r="H1290">
        <f>IF(E1290,D1290,10^9)</f>
        <v/>
      </c>
    </row>
    <row r="1291">
      <c r="A1291" t="n">
        <v>1283</v>
      </c>
      <c r="B1291" t="n">
        <v>0</v>
      </c>
      <c r="C1291" t="n">
        <v>0</v>
      </c>
      <c r="D1291" t="n">
        <v>1489.670986889335</v>
      </c>
      <c r="E1291">
        <f>C1291&lt;0.05</f>
        <v/>
      </c>
      <c r="F1291">
        <f>A1291=$B$5</f>
        <v/>
      </c>
      <c r="G1291">
        <f>IF(E1291,A1291,10^9)</f>
        <v/>
      </c>
      <c r="H1291">
        <f>IF(E1291,D1291,10^9)</f>
        <v/>
      </c>
    </row>
    <row r="1292">
      <c r="A1292" t="n">
        <v>1284</v>
      </c>
      <c r="B1292" t="n">
        <v>0</v>
      </c>
      <c r="C1292" t="n">
        <v>0</v>
      </c>
      <c r="D1292" t="n">
        <v>1490.670986889335</v>
      </c>
      <c r="E1292">
        <f>C1292&lt;0.05</f>
        <v/>
      </c>
      <c r="F1292">
        <f>A1292=$B$5</f>
        <v/>
      </c>
      <c r="G1292">
        <f>IF(E1292,A1292,10^9)</f>
        <v/>
      </c>
      <c r="H1292">
        <f>IF(E1292,D1292,10^9)</f>
        <v/>
      </c>
    </row>
    <row r="1293">
      <c r="A1293" t="n">
        <v>1285</v>
      </c>
      <c r="B1293" t="n">
        <v>0</v>
      </c>
      <c r="C1293" t="n">
        <v>0</v>
      </c>
      <c r="D1293" t="n">
        <v>1491.670986889335</v>
      </c>
      <c r="E1293">
        <f>C1293&lt;0.05</f>
        <v/>
      </c>
      <c r="F1293">
        <f>A1293=$B$5</f>
        <v/>
      </c>
      <c r="G1293">
        <f>IF(E1293,A1293,10^9)</f>
        <v/>
      </c>
      <c r="H1293">
        <f>IF(E1293,D1293,10^9)</f>
        <v/>
      </c>
    </row>
    <row r="1294">
      <c r="A1294" t="n">
        <v>1286</v>
      </c>
      <c r="B1294" t="n">
        <v>0</v>
      </c>
      <c r="C1294" t="n">
        <v>0</v>
      </c>
      <c r="D1294" t="n">
        <v>1492.670986889335</v>
      </c>
      <c r="E1294">
        <f>C1294&lt;0.05</f>
        <v/>
      </c>
      <c r="F1294">
        <f>A1294=$B$5</f>
        <v/>
      </c>
      <c r="G1294">
        <f>IF(E1294,A1294,10^9)</f>
        <v/>
      </c>
      <c r="H1294">
        <f>IF(E1294,D1294,10^9)</f>
        <v/>
      </c>
    </row>
    <row r="1295">
      <c r="A1295" t="n">
        <v>1287</v>
      </c>
      <c r="B1295" t="n">
        <v>0</v>
      </c>
      <c r="C1295" t="n">
        <v>0</v>
      </c>
      <c r="D1295" t="n">
        <v>1493.670986889335</v>
      </c>
      <c r="E1295">
        <f>C1295&lt;0.05</f>
        <v/>
      </c>
      <c r="F1295">
        <f>A1295=$B$5</f>
        <v/>
      </c>
      <c r="G1295">
        <f>IF(E1295,A1295,10^9)</f>
        <v/>
      </c>
      <c r="H1295">
        <f>IF(E1295,D1295,10^9)</f>
        <v/>
      </c>
    </row>
    <row r="1296">
      <c r="A1296" t="n">
        <v>1288</v>
      </c>
      <c r="B1296" t="n">
        <v>0</v>
      </c>
      <c r="C1296" t="n">
        <v>0</v>
      </c>
      <c r="D1296" t="n">
        <v>1494.670986889335</v>
      </c>
      <c r="E1296">
        <f>C1296&lt;0.05</f>
        <v/>
      </c>
      <c r="F1296">
        <f>A1296=$B$5</f>
        <v/>
      </c>
      <c r="G1296">
        <f>IF(E1296,A1296,10^9)</f>
        <v/>
      </c>
      <c r="H1296">
        <f>IF(E1296,D1296,10^9)</f>
        <v/>
      </c>
    </row>
    <row r="1297">
      <c r="A1297" t="n">
        <v>1289</v>
      </c>
      <c r="B1297" t="n">
        <v>0</v>
      </c>
      <c r="C1297" t="n">
        <v>0</v>
      </c>
      <c r="D1297" t="n">
        <v>1495.670986889335</v>
      </c>
      <c r="E1297">
        <f>C1297&lt;0.05</f>
        <v/>
      </c>
      <c r="F1297">
        <f>A1297=$B$5</f>
        <v/>
      </c>
      <c r="G1297">
        <f>IF(E1297,A1297,10^9)</f>
        <v/>
      </c>
      <c r="H1297">
        <f>IF(E1297,D1297,10^9)</f>
        <v/>
      </c>
    </row>
    <row r="1298">
      <c r="A1298" t="n">
        <v>1290</v>
      </c>
      <c r="B1298" t="n">
        <v>0</v>
      </c>
      <c r="C1298" t="n">
        <v>0</v>
      </c>
      <c r="D1298" t="n">
        <v>1496.670986889335</v>
      </c>
      <c r="E1298">
        <f>C1298&lt;0.05</f>
        <v/>
      </c>
      <c r="F1298">
        <f>A1298=$B$5</f>
        <v/>
      </c>
      <c r="G1298">
        <f>IF(E1298,A1298,10^9)</f>
        <v/>
      </c>
      <c r="H1298">
        <f>IF(E1298,D1298,10^9)</f>
        <v/>
      </c>
    </row>
    <row r="1299">
      <c r="A1299" t="n">
        <v>1291</v>
      </c>
      <c r="B1299" t="n">
        <v>0</v>
      </c>
      <c r="C1299" t="n">
        <v>0</v>
      </c>
      <c r="D1299" t="n">
        <v>1497.670986889335</v>
      </c>
      <c r="E1299">
        <f>C1299&lt;0.05</f>
        <v/>
      </c>
      <c r="F1299">
        <f>A1299=$B$5</f>
        <v/>
      </c>
      <c r="G1299">
        <f>IF(E1299,A1299,10^9)</f>
        <v/>
      </c>
      <c r="H1299">
        <f>IF(E1299,D1299,10^9)</f>
        <v/>
      </c>
    </row>
    <row r="1300">
      <c r="A1300" t="n">
        <v>1292</v>
      </c>
      <c r="B1300" t="n">
        <v>0</v>
      </c>
      <c r="C1300" t="n">
        <v>0</v>
      </c>
      <c r="D1300" t="n">
        <v>1498.670986889335</v>
      </c>
      <c r="E1300">
        <f>C1300&lt;0.05</f>
        <v/>
      </c>
      <c r="F1300">
        <f>A1300=$B$5</f>
        <v/>
      </c>
      <c r="G1300">
        <f>IF(E1300,A1300,10^9)</f>
        <v/>
      </c>
      <c r="H1300">
        <f>IF(E1300,D1300,10^9)</f>
        <v/>
      </c>
    </row>
    <row r="1301">
      <c r="A1301" t="n">
        <v>1293</v>
      </c>
      <c r="B1301" t="n">
        <v>0</v>
      </c>
      <c r="C1301" t="n">
        <v>0</v>
      </c>
      <c r="D1301" t="n">
        <v>1499.670986889335</v>
      </c>
      <c r="E1301">
        <f>C1301&lt;0.05</f>
        <v/>
      </c>
      <c r="F1301">
        <f>A1301=$B$5</f>
        <v/>
      </c>
      <c r="G1301">
        <f>IF(E1301,A1301,10^9)</f>
        <v/>
      </c>
      <c r="H1301">
        <f>IF(E1301,D1301,10^9)</f>
        <v/>
      </c>
    </row>
    <row r="1302">
      <c r="A1302" t="n">
        <v>1294</v>
      </c>
      <c r="B1302" t="n">
        <v>0</v>
      </c>
      <c r="C1302" t="n">
        <v>0</v>
      </c>
      <c r="D1302" t="n">
        <v>1500.670986889335</v>
      </c>
      <c r="E1302">
        <f>C1302&lt;0.05</f>
        <v/>
      </c>
      <c r="F1302">
        <f>A1302=$B$5</f>
        <v/>
      </c>
      <c r="G1302">
        <f>IF(E1302,A1302,10^9)</f>
        <v/>
      </c>
      <c r="H1302">
        <f>IF(E1302,D1302,10^9)</f>
        <v/>
      </c>
    </row>
    <row r="1303">
      <c r="A1303" t="n">
        <v>1295</v>
      </c>
      <c r="B1303" t="n">
        <v>0</v>
      </c>
      <c r="C1303" t="n">
        <v>0</v>
      </c>
      <c r="D1303" t="n">
        <v>1501.670986889335</v>
      </c>
      <c r="E1303">
        <f>C1303&lt;0.05</f>
        <v/>
      </c>
      <c r="F1303">
        <f>A1303=$B$5</f>
        <v/>
      </c>
      <c r="G1303">
        <f>IF(E1303,A1303,10^9)</f>
        <v/>
      </c>
      <c r="H1303">
        <f>IF(E1303,D1303,10^9)</f>
        <v/>
      </c>
    </row>
    <row r="1304">
      <c r="A1304" t="n">
        <v>1296</v>
      </c>
      <c r="B1304" t="n">
        <v>0</v>
      </c>
      <c r="C1304" t="n">
        <v>0</v>
      </c>
      <c r="D1304" t="n">
        <v>1502.670986889335</v>
      </c>
      <c r="E1304">
        <f>C1304&lt;0.05</f>
        <v/>
      </c>
      <c r="F1304">
        <f>A1304=$B$5</f>
        <v/>
      </c>
      <c r="G1304">
        <f>IF(E1304,A1304,10^9)</f>
        <v/>
      </c>
      <c r="H1304">
        <f>IF(E1304,D1304,10^9)</f>
        <v/>
      </c>
    </row>
    <row r="1305">
      <c r="A1305" t="n">
        <v>1297</v>
      </c>
      <c r="B1305" t="n">
        <v>0</v>
      </c>
      <c r="C1305" t="n">
        <v>0</v>
      </c>
      <c r="D1305" t="n">
        <v>1503.670986889335</v>
      </c>
      <c r="E1305">
        <f>C1305&lt;0.05</f>
        <v/>
      </c>
      <c r="F1305">
        <f>A1305=$B$5</f>
        <v/>
      </c>
      <c r="G1305">
        <f>IF(E1305,A1305,10^9)</f>
        <v/>
      </c>
      <c r="H1305">
        <f>IF(E1305,D1305,10^9)</f>
        <v/>
      </c>
    </row>
    <row r="1306">
      <c r="A1306" t="n">
        <v>1298</v>
      </c>
      <c r="B1306" t="n">
        <v>0</v>
      </c>
      <c r="C1306" t="n">
        <v>0</v>
      </c>
      <c r="D1306" t="n">
        <v>1504.670986889335</v>
      </c>
      <c r="E1306">
        <f>C1306&lt;0.05</f>
        <v/>
      </c>
      <c r="F1306">
        <f>A1306=$B$5</f>
        <v/>
      </c>
      <c r="G1306">
        <f>IF(E1306,A1306,10^9)</f>
        <v/>
      </c>
      <c r="H1306">
        <f>IF(E1306,D1306,10^9)</f>
        <v/>
      </c>
    </row>
    <row r="1307">
      <c r="A1307" t="n">
        <v>1299</v>
      </c>
      <c r="B1307" t="n">
        <v>0</v>
      </c>
      <c r="C1307" t="n">
        <v>0</v>
      </c>
      <c r="D1307" t="n">
        <v>1505.670986889335</v>
      </c>
      <c r="E1307">
        <f>C1307&lt;0.05</f>
        <v/>
      </c>
      <c r="F1307">
        <f>A1307=$B$5</f>
        <v/>
      </c>
      <c r="G1307">
        <f>IF(E1307,A1307,10^9)</f>
        <v/>
      </c>
      <c r="H1307">
        <f>IF(E1307,D1307,10^9)</f>
        <v/>
      </c>
    </row>
    <row r="1308">
      <c r="A1308" t="n">
        <v>1300</v>
      </c>
      <c r="B1308" t="n">
        <v>0</v>
      </c>
      <c r="C1308" t="n">
        <v>0</v>
      </c>
      <c r="D1308" t="n">
        <v>1506.670986889335</v>
      </c>
      <c r="E1308">
        <f>C1308&lt;0.05</f>
        <v/>
      </c>
      <c r="F1308">
        <f>A1308=$B$5</f>
        <v/>
      </c>
      <c r="G1308">
        <f>IF(E1308,A1308,10^9)</f>
        <v/>
      </c>
      <c r="H1308">
        <f>IF(E1308,D1308,10^9)</f>
        <v/>
      </c>
    </row>
    <row r="1309">
      <c r="A1309" t="n">
        <v>1301</v>
      </c>
      <c r="B1309" t="n">
        <v>0</v>
      </c>
      <c r="C1309" t="n">
        <v>0</v>
      </c>
      <c r="D1309" t="n">
        <v>1507.670986889335</v>
      </c>
      <c r="E1309">
        <f>C1309&lt;0.05</f>
        <v/>
      </c>
      <c r="F1309">
        <f>A1309=$B$5</f>
        <v/>
      </c>
      <c r="G1309">
        <f>IF(E1309,A1309,10^9)</f>
        <v/>
      </c>
      <c r="H1309">
        <f>IF(E1309,D1309,10^9)</f>
        <v/>
      </c>
    </row>
    <row r="1310">
      <c r="A1310" t="n">
        <v>1302</v>
      </c>
      <c r="B1310" t="n">
        <v>0</v>
      </c>
      <c r="C1310" t="n">
        <v>0</v>
      </c>
      <c r="D1310" t="n">
        <v>1508.670986889335</v>
      </c>
      <c r="E1310">
        <f>C1310&lt;0.05</f>
        <v/>
      </c>
      <c r="F1310">
        <f>A1310=$B$5</f>
        <v/>
      </c>
      <c r="G1310">
        <f>IF(E1310,A1310,10^9)</f>
        <v/>
      </c>
      <c r="H1310">
        <f>IF(E1310,D1310,10^9)</f>
        <v/>
      </c>
    </row>
    <row r="1311">
      <c r="A1311" t="n">
        <v>1303</v>
      </c>
      <c r="B1311" t="n">
        <v>0</v>
      </c>
      <c r="C1311" t="n">
        <v>0</v>
      </c>
      <c r="D1311" t="n">
        <v>1509.670986889335</v>
      </c>
      <c r="E1311">
        <f>C1311&lt;0.05</f>
        <v/>
      </c>
      <c r="F1311">
        <f>A1311=$B$5</f>
        <v/>
      </c>
      <c r="G1311">
        <f>IF(E1311,A1311,10^9)</f>
        <v/>
      </c>
      <c r="H1311">
        <f>IF(E1311,D1311,10^9)</f>
        <v/>
      </c>
    </row>
    <row r="1312">
      <c r="A1312" t="n">
        <v>1304</v>
      </c>
      <c r="B1312" t="n">
        <v>0</v>
      </c>
      <c r="C1312" t="n">
        <v>0</v>
      </c>
      <c r="D1312" t="n">
        <v>1510.670986889335</v>
      </c>
      <c r="E1312">
        <f>C1312&lt;0.05</f>
        <v/>
      </c>
      <c r="F1312">
        <f>A1312=$B$5</f>
        <v/>
      </c>
      <c r="G1312">
        <f>IF(E1312,A1312,10^9)</f>
        <v/>
      </c>
      <c r="H1312">
        <f>IF(E1312,D1312,10^9)</f>
        <v/>
      </c>
    </row>
    <row r="1313">
      <c r="A1313" t="n">
        <v>1305</v>
      </c>
      <c r="B1313" t="n">
        <v>0</v>
      </c>
      <c r="C1313" t="n">
        <v>0</v>
      </c>
      <c r="D1313" t="n">
        <v>1511.670986889335</v>
      </c>
      <c r="E1313">
        <f>C1313&lt;0.05</f>
        <v/>
      </c>
      <c r="F1313">
        <f>A1313=$B$5</f>
        <v/>
      </c>
      <c r="G1313">
        <f>IF(E1313,A1313,10^9)</f>
        <v/>
      </c>
      <c r="H1313">
        <f>IF(E1313,D1313,10^9)</f>
        <v/>
      </c>
    </row>
    <row r="1314">
      <c r="A1314" t="n">
        <v>1306</v>
      </c>
      <c r="B1314" t="n">
        <v>0</v>
      </c>
      <c r="C1314" t="n">
        <v>0</v>
      </c>
      <c r="D1314" t="n">
        <v>1512.670986889335</v>
      </c>
      <c r="E1314">
        <f>C1314&lt;0.05</f>
        <v/>
      </c>
      <c r="F1314">
        <f>A1314=$B$5</f>
        <v/>
      </c>
      <c r="G1314">
        <f>IF(E1314,A1314,10^9)</f>
        <v/>
      </c>
      <c r="H1314">
        <f>IF(E1314,D1314,10^9)</f>
        <v/>
      </c>
    </row>
    <row r="1315">
      <c r="A1315" t="n">
        <v>1307</v>
      </c>
      <c r="B1315" t="n">
        <v>0</v>
      </c>
      <c r="C1315" t="n">
        <v>0</v>
      </c>
      <c r="D1315" t="n">
        <v>1513.670986889335</v>
      </c>
      <c r="E1315">
        <f>C1315&lt;0.05</f>
        <v/>
      </c>
      <c r="F1315">
        <f>A1315=$B$5</f>
        <v/>
      </c>
      <c r="G1315">
        <f>IF(E1315,A1315,10^9)</f>
        <v/>
      </c>
      <c r="H1315">
        <f>IF(E1315,D1315,10^9)</f>
        <v/>
      </c>
    </row>
    <row r="1316">
      <c r="A1316" t="n">
        <v>1308</v>
      </c>
      <c r="B1316" t="n">
        <v>0</v>
      </c>
      <c r="C1316" t="n">
        <v>0</v>
      </c>
      <c r="D1316" t="n">
        <v>1514.670986889335</v>
      </c>
      <c r="E1316">
        <f>C1316&lt;0.05</f>
        <v/>
      </c>
      <c r="F1316">
        <f>A1316=$B$5</f>
        <v/>
      </c>
      <c r="G1316">
        <f>IF(E1316,A1316,10^9)</f>
        <v/>
      </c>
      <c r="H1316">
        <f>IF(E1316,D1316,10^9)</f>
        <v/>
      </c>
    </row>
    <row r="1317">
      <c r="A1317" t="n">
        <v>1309</v>
      </c>
      <c r="B1317" t="n">
        <v>0</v>
      </c>
      <c r="C1317" t="n">
        <v>0</v>
      </c>
      <c r="D1317" t="n">
        <v>1515.670986889335</v>
      </c>
      <c r="E1317">
        <f>C1317&lt;0.05</f>
        <v/>
      </c>
      <c r="F1317">
        <f>A1317=$B$5</f>
        <v/>
      </c>
      <c r="G1317">
        <f>IF(E1317,A1317,10^9)</f>
        <v/>
      </c>
      <c r="H1317">
        <f>IF(E1317,D1317,10^9)</f>
        <v/>
      </c>
    </row>
    <row r="1318">
      <c r="A1318" t="n">
        <v>1310</v>
      </c>
      <c r="B1318" t="n">
        <v>0</v>
      </c>
      <c r="C1318" t="n">
        <v>0</v>
      </c>
      <c r="D1318" t="n">
        <v>1516.670986889335</v>
      </c>
      <c r="E1318">
        <f>C1318&lt;0.05</f>
        <v/>
      </c>
      <c r="F1318">
        <f>A1318=$B$5</f>
        <v/>
      </c>
      <c r="G1318">
        <f>IF(E1318,A1318,10^9)</f>
        <v/>
      </c>
      <c r="H1318">
        <f>IF(E1318,D1318,10^9)</f>
        <v/>
      </c>
    </row>
    <row r="1319">
      <c r="A1319" t="n">
        <v>1311</v>
      </c>
      <c r="B1319" t="n">
        <v>0</v>
      </c>
      <c r="C1319" t="n">
        <v>0</v>
      </c>
      <c r="D1319" t="n">
        <v>1517.670986889335</v>
      </c>
      <c r="E1319">
        <f>C1319&lt;0.05</f>
        <v/>
      </c>
      <c r="F1319">
        <f>A1319=$B$5</f>
        <v/>
      </c>
      <c r="G1319">
        <f>IF(E1319,A1319,10^9)</f>
        <v/>
      </c>
      <c r="H1319">
        <f>IF(E1319,D1319,10^9)</f>
        <v/>
      </c>
    </row>
    <row r="1320">
      <c r="A1320" t="n">
        <v>1312</v>
      </c>
      <c r="B1320" t="n">
        <v>0</v>
      </c>
      <c r="C1320" t="n">
        <v>0</v>
      </c>
      <c r="D1320" t="n">
        <v>1518.670986889335</v>
      </c>
      <c r="E1320">
        <f>C1320&lt;0.05</f>
        <v/>
      </c>
      <c r="F1320">
        <f>A1320=$B$5</f>
        <v/>
      </c>
      <c r="G1320">
        <f>IF(E1320,A1320,10^9)</f>
        <v/>
      </c>
      <c r="H1320">
        <f>IF(E1320,D1320,10^9)</f>
        <v/>
      </c>
    </row>
    <row r="1321">
      <c r="A1321" t="n">
        <v>1313</v>
      </c>
      <c r="B1321" t="n">
        <v>0</v>
      </c>
      <c r="C1321" t="n">
        <v>0</v>
      </c>
      <c r="D1321" t="n">
        <v>1519.670986889335</v>
      </c>
      <c r="E1321">
        <f>C1321&lt;0.05</f>
        <v/>
      </c>
      <c r="F1321">
        <f>A1321=$B$5</f>
        <v/>
      </c>
      <c r="G1321">
        <f>IF(E1321,A1321,10^9)</f>
        <v/>
      </c>
      <c r="H1321">
        <f>IF(E1321,D1321,10^9)</f>
        <v/>
      </c>
    </row>
    <row r="1322">
      <c r="A1322" t="n">
        <v>1314</v>
      </c>
      <c r="B1322" t="n">
        <v>0</v>
      </c>
      <c r="C1322" t="n">
        <v>0</v>
      </c>
      <c r="D1322" t="n">
        <v>1520.670986889335</v>
      </c>
      <c r="E1322">
        <f>C1322&lt;0.05</f>
        <v/>
      </c>
      <c r="F1322">
        <f>A1322=$B$5</f>
        <v/>
      </c>
      <c r="G1322">
        <f>IF(E1322,A1322,10^9)</f>
        <v/>
      </c>
      <c r="H1322">
        <f>IF(E1322,D1322,10^9)</f>
        <v/>
      </c>
    </row>
    <row r="1323">
      <c r="A1323" t="n">
        <v>1315</v>
      </c>
      <c r="B1323" t="n">
        <v>0</v>
      </c>
      <c r="C1323" t="n">
        <v>0</v>
      </c>
      <c r="D1323" t="n">
        <v>1521.670986889335</v>
      </c>
      <c r="E1323">
        <f>C1323&lt;0.05</f>
        <v/>
      </c>
      <c r="F1323">
        <f>A1323=$B$5</f>
        <v/>
      </c>
      <c r="G1323">
        <f>IF(E1323,A1323,10^9)</f>
        <v/>
      </c>
      <c r="H1323">
        <f>IF(E1323,D1323,10^9)</f>
        <v/>
      </c>
    </row>
    <row r="1324">
      <c r="A1324" t="n">
        <v>1316</v>
      </c>
      <c r="B1324" t="n">
        <v>0</v>
      </c>
      <c r="C1324" t="n">
        <v>0</v>
      </c>
      <c r="D1324" t="n">
        <v>1522.670986889335</v>
      </c>
      <c r="E1324">
        <f>C1324&lt;0.05</f>
        <v/>
      </c>
      <c r="F1324">
        <f>A1324=$B$5</f>
        <v/>
      </c>
      <c r="G1324">
        <f>IF(E1324,A1324,10^9)</f>
        <v/>
      </c>
      <c r="H1324">
        <f>IF(E1324,D1324,10^9)</f>
        <v/>
      </c>
    </row>
    <row r="1325">
      <c r="A1325" t="n">
        <v>1317</v>
      </c>
      <c r="B1325" t="n">
        <v>0</v>
      </c>
      <c r="C1325" t="n">
        <v>0</v>
      </c>
      <c r="D1325" t="n">
        <v>1523.670986889335</v>
      </c>
      <c r="E1325">
        <f>C1325&lt;0.05</f>
        <v/>
      </c>
      <c r="F1325">
        <f>A1325=$B$5</f>
        <v/>
      </c>
      <c r="G1325">
        <f>IF(E1325,A1325,10^9)</f>
        <v/>
      </c>
      <c r="H1325">
        <f>IF(E1325,D1325,10^9)</f>
        <v/>
      </c>
    </row>
    <row r="1326">
      <c r="A1326" t="n">
        <v>1318</v>
      </c>
      <c r="B1326" t="n">
        <v>0</v>
      </c>
      <c r="C1326" t="n">
        <v>0</v>
      </c>
      <c r="D1326" t="n">
        <v>1524.670986889335</v>
      </c>
      <c r="E1326">
        <f>C1326&lt;0.05</f>
        <v/>
      </c>
      <c r="F1326">
        <f>A1326=$B$5</f>
        <v/>
      </c>
      <c r="G1326">
        <f>IF(E1326,A1326,10^9)</f>
        <v/>
      </c>
      <c r="H1326">
        <f>IF(E1326,D1326,10^9)</f>
        <v/>
      </c>
    </row>
    <row r="1327">
      <c r="A1327" t="n">
        <v>1319</v>
      </c>
      <c r="B1327" t="n">
        <v>0</v>
      </c>
      <c r="C1327" t="n">
        <v>0</v>
      </c>
      <c r="D1327" t="n">
        <v>1525.670986889335</v>
      </c>
      <c r="E1327">
        <f>C1327&lt;0.05</f>
        <v/>
      </c>
      <c r="F1327">
        <f>A1327=$B$5</f>
        <v/>
      </c>
      <c r="G1327">
        <f>IF(E1327,A1327,10^9)</f>
        <v/>
      </c>
      <c r="H1327">
        <f>IF(E1327,D1327,10^9)</f>
        <v/>
      </c>
    </row>
    <row r="1328">
      <c r="A1328" t="n">
        <v>1320</v>
      </c>
      <c r="B1328" t="n">
        <v>0</v>
      </c>
      <c r="C1328" t="n">
        <v>0</v>
      </c>
      <c r="D1328" t="n">
        <v>1526.670986889335</v>
      </c>
      <c r="E1328">
        <f>C1328&lt;0.05</f>
        <v/>
      </c>
      <c r="F1328">
        <f>A1328=$B$5</f>
        <v/>
      </c>
      <c r="G1328">
        <f>IF(E1328,A1328,10^9)</f>
        <v/>
      </c>
      <c r="H1328">
        <f>IF(E1328,D1328,10^9)</f>
        <v/>
      </c>
    </row>
    <row r="1329">
      <c r="A1329" t="n">
        <v>1321</v>
      </c>
      <c r="B1329" t="n">
        <v>0</v>
      </c>
      <c r="C1329" t="n">
        <v>0</v>
      </c>
      <c r="D1329" t="n">
        <v>1527.670986889335</v>
      </c>
      <c r="E1329">
        <f>C1329&lt;0.05</f>
        <v/>
      </c>
      <c r="F1329">
        <f>A1329=$B$5</f>
        <v/>
      </c>
      <c r="G1329">
        <f>IF(E1329,A1329,10^9)</f>
        <v/>
      </c>
      <c r="H1329">
        <f>IF(E1329,D1329,10^9)</f>
        <v/>
      </c>
    </row>
    <row r="1330">
      <c r="A1330" t="n">
        <v>1322</v>
      </c>
      <c r="B1330" t="n">
        <v>0</v>
      </c>
      <c r="C1330" t="n">
        <v>0</v>
      </c>
      <c r="D1330" t="n">
        <v>1528.670986889335</v>
      </c>
      <c r="E1330">
        <f>C1330&lt;0.05</f>
        <v/>
      </c>
      <c r="F1330">
        <f>A1330=$B$5</f>
        <v/>
      </c>
      <c r="G1330">
        <f>IF(E1330,A1330,10^9)</f>
        <v/>
      </c>
      <c r="H1330">
        <f>IF(E1330,D1330,10^9)</f>
        <v/>
      </c>
    </row>
    <row r="1331">
      <c r="A1331" t="n">
        <v>1323</v>
      </c>
      <c r="B1331" t="n">
        <v>0</v>
      </c>
      <c r="C1331" t="n">
        <v>0</v>
      </c>
      <c r="D1331" t="n">
        <v>1529.670986889335</v>
      </c>
      <c r="E1331">
        <f>C1331&lt;0.05</f>
        <v/>
      </c>
      <c r="F1331">
        <f>A1331=$B$5</f>
        <v/>
      </c>
      <c r="G1331">
        <f>IF(E1331,A1331,10^9)</f>
        <v/>
      </c>
      <c r="H1331">
        <f>IF(E1331,D1331,10^9)</f>
        <v/>
      </c>
    </row>
    <row r="1332">
      <c r="A1332" t="n">
        <v>1324</v>
      </c>
      <c r="B1332" t="n">
        <v>0</v>
      </c>
      <c r="C1332" t="n">
        <v>0</v>
      </c>
      <c r="D1332" t="n">
        <v>1530.670986889335</v>
      </c>
      <c r="E1332">
        <f>C1332&lt;0.05</f>
        <v/>
      </c>
      <c r="F1332">
        <f>A1332=$B$5</f>
        <v/>
      </c>
      <c r="G1332">
        <f>IF(E1332,A1332,10^9)</f>
        <v/>
      </c>
      <c r="H1332">
        <f>IF(E1332,D1332,10^9)</f>
        <v/>
      </c>
    </row>
    <row r="1333">
      <c r="A1333" t="n">
        <v>1325</v>
      </c>
      <c r="B1333" t="n">
        <v>0</v>
      </c>
      <c r="C1333" t="n">
        <v>0</v>
      </c>
      <c r="D1333" t="n">
        <v>1531.670986889335</v>
      </c>
      <c r="E1333">
        <f>C1333&lt;0.05</f>
        <v/>
      </c>
      <c r="F1333">
        <f>A1333=$B$5</f>
        <v/>
      </c>
      <c r="G1333">
        <f>IF(E1333,A1333,10^9)</f>
        <v/>
      </c>
      <c r="H1333">
        <f>IF(E1333,D1333,10^9)</f>
        <v/>
      </c>
    </row>
    <row r="1334">
      <c r="A1334" t="n">
        <v>1326</v>
      </c>
      <c r="B1334" t="n">
        <v>0</v>
      </c>
      <c r="C1334" t="n">
        <v>0</v>
      </c>
      <c r="D1334" t="n">
        <v>1532.670986889335</v>
      </c>
      <c r="E1334">
        <f>C1334&lt;0.05</f>
        <v/>
      </c>
      <c r="F1334">
        <f>A1334=$B$5</f>
        <v/>
      </c>
      <c r="G1334">
        <f>IF(E1334,A1334,10^9)</f>
        <v/>
      </c>
      <c r="H1334">
        <f>IF(E1334,D1334,10^9)</f>
        <v/>
      </c>
    </row>
    <row r="1335">
      <c r="A1335" t="n">
        <v>1327</v>
      </c>
      <c r="B1335" t="n">
        <v>0</v>
      </c>
      <c r="C1335" t="n">
        <v>0</v>
      </c>
      <c r="D1335" t="n">
        <v>1533.670986889335</v>
      </c>
      <c r="E1335">
        <f>C1335&lt;0.05</f>
        <v/>
      </c>
      <c r="F1335">
        <f>A1335=$B$5</f>
        <v/>
      </c>
      <c r="G1335">
        <f>IF(E1335,A1335,10^9)</f>
        <v/>
      </c>
      <c r="H1335">
        <f>IF(E1335,D1335,10^9)</f>
        <v/>
      </c>
    </row>
    <row r="1336">
      <c r="A1336" t="n">
        <v>1328</v>
      </c>
      <c r="B1336" t="n">
        <v>0</v>
      </c>
      <c r="C1336" t="n">
        <v>0</v>
      </c>
      <c r="D1336" t="n">
        <v>1534.670986889335</v>
      </c>
      <c r="E1336">
        <f>C1336&lt;0.05</f>
        <v/>
      </c>
      <c r="F1336">
        <f>A1336=$B$5</f>
        <v/>
      </c>
      <c r="G1336">
        <f>IF(E1336,A1336,10^9)</f>
        <v/>
      </c>
      <c r="H1336">
        <f>IF(E1336,D1336,10^9)</f>
        <v/>
      </c>
    </row>
    <row r="1337">
      <c r="A1337" t="n">
        <v>1329</v>
      </c>
      <c r="B1337" t="n">
        <v>0</v>
      </c>
      <c r="C1337" t="n">
        <v>0</v>
      </c>
      <c r="D1337" t="n">
        <v>1535.670986889335</v>
      </c>
      <c r="E1337">
        <f>C1337&lt;0.05</f>
        <v/>
      </c>
      <c r="F1337">
        <f>A1337=$B$5</f>
        <v/>
      </c>
      <c r="G1337">
        <f>IF(E1337,A1337,10^9)</f>
        <v/>
      </c>
      <c r="H1337">
        <f>IF(E1337,D1337,10^9)</f>
        <v/>
      </c>
    </row>
    <row r="1338">
      <c r="A1338" t="n">
        <v>1330</v>
      </c>
      <c r="B1338" t="n">
        <v>0</v>
      </c>
      <c r="C1338" t="n">
        <v>0</v>
      </c>
      <c r="D1338" t="n">
        <v>1536.670986889335</v>
      </c>
      <c r="E1338">
        <f>C1338&lt;0.05</f>
        <v/>
      </c>
      <c r="F1338">
        <f>A1338=$B$5</f>
        <v/>
      </c>
      <c r="G1338">
        <f>IF(E1338,A1338,10^9)</f>
        <v/>
      </c>
      <c r="H1338">
        <f>IF(E1338,D1338,10^9)</f>
        <v/>
      </c>
    </row>
    <row r="1339">
      <c r="A1339" t="n">
        <v>1331</v>
      </c>
      <c r="B1339" t="n">
        <v>0</v>
      </c>
      <c r="C1339" t="n">
        <v>0</v>
      </c>
      <c r="D1339" t="n">
        <v>1537.670986889335</v>
      </c>
      <c r="E1339">
        <f>C1339&lt;0.05</f>
        <v/>
      </c>
      <c r="F1339">
        <f>A1339=$B$5</f>
        <v/>
      </c>
      <c r="G1339">
        <f>IF(E1339,A1339,10^9)</f>
        <v/>
      </c>
      <c r="H1339">
        <f>IF(E1339,D1339,10^9)</f>
        <v/>
      </c>
    </row>
    <row r="1340">
      <c r="A1340" t="n">
        <v>1332</v>
      </c>
      <c r="B1340" t="n">
        <v>0</v>
      </c>
      <c r="C1340" t="n">
        <v>0</v>
      </c>
      <c r="D1340" t="n">
        <v>1538.670986889335</v>
      </c>
      <c r="E1340">
        <f>C1340&lt;0.05</f>
        <v/>
      </c>
      <c r="F1340">
        <f>A1340=$B$5</f>
        <v/>
      </c>
      <c r="G1340">
        <f>IF(E1340,A1340,10^9)</f>
        <v/>
      </c>
      <c r="H1340">
        <f>IF(E1340,D1340,10^9)</f>
        <v/>
      </c>
    </row>
    <row r="1341">
      <c r="A1341" t="n">
        <v>1333</v>
      </c>
      <c r="B1341" t="n">
        <v>0</v>
      </c>
      <c r="C1341" t="n">
        <v>0</v>
      </c>
      <c r="D1341" t="n">
        <v>1539.670986889335</v>
      </c>
      <c r="E1341">
        <f>C1341&lt;0.05</f>
        <v/>
      </c>
      <c r="F1341">
        <f>A1341=$B$5</f>
        <v/>
      </c>
      <c r="G1341">
        <f>IF(E1341,A1341,10^9)</f>
        <v/>
      </c>
      <c r="H1341">
        <f>IF(E1341,D1341,10^9)</f>
        <v/>
      </c>
    </row>
    <row r="1342">
      <c r="A1342" t="n">
        <v>1334</v>
      </c>
      <c r="B1342" t="n">
        <v>0</v>
      </c>
      <c r="C1342" t="n">
        <v>0</v>
      </c>
      <c r="D1342" t="n">
        <v>1540.670986889335</v>
      </c>
      <c r="E1342">
        <f>C1342&lt;0.05</f>
        <v/>
      </c>
      <c r="F1342">
        <f>A1342=$B$5</f>
        <v/>
      </c>
      <c r="G1342">
        <f>IF(E1342,A1342,10^9)</f>
        <v/>
      </c>
      <c r="H1342">
        <f>IF(E1342,D1342,10^9)</f>
        <v/>
      </c>
    </row>
    <row r="1343">
      <c r="A1343" t="n">
        <v>1335</v>
      </c>
      <c r="B1343" t="n">
        <v>0</v>
      </c>
      <c r="C1343" t="n">
        <v>0</v>
      </c>
      <c r="D1343" t="n">
        <v>1541.670986889335</v>
      </c>
      <c r="E1343">
        <f>C1343&lt;0.05</f>
        <v/>
      </c>
      <c r="F1343">
        <f>A1343=$B$5</f>
        <v/>
      </c>
      <c r="G1343">
        <f>IF(E1343,A1343,10^9)</f>
        <v/>
      </c>
      <c r="H1343">
        <f>IF(E1343,D1343,10^9)</f>
        <v/>
      </c>
    </row>
    <row r="1344">
      <c r="A1344" t="n">
        <v>1336</v>
      </c>
      <c r="B1344" t="n">
        <v>0</v>
      </c>
      <c r="C1344" t="n">
        <v>0</v>
      </c>
      <c r="D1344" t="n">
        <v>1542.670986889335</v>
      </c>
      <c r="E1344">
        <f>C1344&lt;0.05</f>
        <v/>
      </c>
      <c r="F1344">
        <f>A1344=$B$5</f>
        <v/>
      </c>
      <c r="G1344">
        <f>IF(E1344,A1344,10^9)</f>
        <v/>
      </c>
      <c r="H1344">
        <f>IF(E1344,D1344,10^9)</f>
        <v/>
      </c>
    </row>
    <row r="1345">
      <c r="A1345" t="n">
        <v>1337</v>
      </c>
      <c r="B1345" t="n">
        <v>0</v>
      </c>
      <c r="C1345" t="n">
        <v>0</v>
      </c>
      <c r="D1345" t="n">
        <v>1543.670986889335</v>
      </c>
      <c r="E1345">
        <f>C1345&lt;0.05</f>
        <v/>
      </c>
      <c r="F1345">
        <f>A1345=$B$5</f>
        <v/>
      </c>
      <c r="G1345">
        <f>IF(E1345,A1345,10^9)</f>
        <v/>
      </c>
      <c r="H1345">
        <f>IF(E1345,D1345,10^9)</f>
        <v/>
      </c>
    </row>
    <row r="1346">
      <c r="A1346" t="n">
        <v>1338</v>
      </c>
      <c r="B1346" t="n">
        <v>0</v>
      </c>
      <c r="C1346" t="n">
        <v>0</v>
      </c>
      <c r="D1346" t="n">
        <v>1544.670986889335</v>
      </c>
      <c r="E1346">
        <f>C1346&lt;0.05</f>
        <v/>
      </c>
      <c r="F1346">
        <f>A1346=$B$5</f>
        <v/>
      </c>
      <c r="G1346">
        <f>IF(E1346,A1346,10^9)</f>
        <v/>
      </c>
      <c r="H1346">
        <f>IF(E1346,D1346,10^9)</f>
        <v/>
      </c>
    </row>
    <row r="1347">
      <c r="A1347" t="n">
        <v>1339</v>
      </c>
      <c r="B1347" t="n">
        <v>0</v>
      </c>
      <c r="C1347" t="n">
        <v>0</v>
      </c>
      <c r="D1347" t="n">
        <v>1545.670986889335</v>
      </c>
      <c r="E1347">
        <f>C1347&lt;0.05</f>
        <v/>
      </c>
      <c r="F1347">
        <f>A1347=$B$5</f>
        <v/>
      </c>
      <c r="G1347">
        <f>IF(E1347,A1347,10^9)</f>
        <v/>
      </c>
      <c r="H1347">
        <f>IF(E1347,D1347,10^9)</f>
        <v/>
      </c>
    </row>
    <row r="1348">
      <c r="A1348" t="n">
        <v>1340</v>
      </c>
      <c r="B1348" t="n">
        <v>0</v>
      </c>
      <c r="C1348" t="n">
        <v>0</v>
      </c>
      <c r="D1348" t="n">
        <v>1546.670986889335</v>
      </c>
      <c r="E1348">
        <f>C1348&lt;0.05</f>
        <v/>
      </c>
      <c r="F1348">
        <f>A1348=$B$5</f>
        <v/>
      </c>
      <c r="G1348">
        <f>IF(E1348,A1348,10^9)</f>
        <v/>
      </c>
      <c r="H1348">
        <f>IF(E1348,D1348,10^9)</f>
        <v/>
      </c>
    </row>
    <row r="1349">
      <c r="A1349" t="n">
        <v>1341</v>
      </c>
      <c r="B1349" t="n">
        <v>0</v>
      </c>
      <c r="C1349" t="n">
        <v>0</v>
      </c>
      <c r="D1349" t="n">
        <v>1547.670986889335</v>
      </c>
      <c r="E1349">
        <f>C1349&lt;0.05</f>
        <v/>
      </c>
      <c r="F1349">
        <f>A1349=$B$5</f>
        <v/>
      </c>
      <c r="G1349">
        <f>IF(E1349,A1349,10^9)</f>
        <v/>
      </c>
      <c r="H1349">
        <f>IF(E1349,D1349,10^9)</f>
        <v/>
      </c>
    </row>
    <row r="1350">
      <c r="A1350" t="n">
        <v>1342</v>
      </c>
      <c r="B1350" t="n">
        <v>0</v>
      </c>
      <c r="C1350" t="n">
        <v>0</v>
      </c>
      <c r="D1350" t="n">
        <v>1548.670986889335</v>
      </c>
      <c r="E1350">
        <f>C1350&lt;0.05</f>
        <v/>
      </c>
      <c r="F1350">
        <f>A1350=$B$5</f>
        <v/>
      </c>
      <c r="G1350">
        <f>IF(E1350,A1350,10^9)</f>
        <v/>
      </c>
      <c r="H1350">
        <f>IF(E1350,D1350,10^9)</f>
        <v/>
      </c>
    </row>
    <row r="1351">
      <c r="A1351" t="n">
        <v>1343</v>
      </c>
      <c r="B1351" t="n">
        <v>0</v>
      </c>
      <c r="C1351" t="n">
        <v>0</v>
      </c>
      <c r="D1351" t="n">
        <v>1549.670986889335</v>
      </c>
      <c r="E1351">
        <f>C1351&lt;0.05</f>
        <v/>
      </c>
      <c r="F1351">
        <f>A1351=$B$5</f>
        <v/>
      </c>
      <c r="G1351">
        <f>IF(E1351,A1351,10^9)</f>
        <v/>
      </c>
      <c r="H1351">
        <f>IF(E1351,D1351,10^9)</f>
        <v/>
      </c>
    </row>
    <row r="1352">
      <c r="A1352" t="n">
        <v>1344</v>
      </c>
      <c r="B1352" t="n">
        <v>0</v>
      </c>
      <c r="C1352" t="n">
        <v>0</v>
      </c>
      <c r="D1352" t="n">
        <v>1550.670986889335</v>
      </c>
      <c r="E1352">
        <f>C1352&lt;0.05</f>
        <v/>
      </c>
      <c r="F1352">
        <f>A1352=$B$5</f>
        <v/>
      </c>
      <c r="G1352">
        <f>IF(E1352,A1352,10^9)</f>
        <v/>
      </c>
      <c r="H1352">
        <f>IF(E1352,D1352,10^9)</f>
        <v/>
      </c>
    </row>
    <row r="1353">
      <c r="A1353" t="n">
        <v>1345</v>
      </c>
      <c r="B1353" t="n">
        <v>0</v>
      </c>
      <c r="C1353" t="n">
        <v>0</v>
      </c>
      <c r="D1353" t="n">
        <v>1551.670986889335</v>
      </c>
      <c r="E1353">
        <f>C1353&lt;0.05</f>
        <v/>
      </c>
      <c r="F1353">
        <f>A1353=$B$5</f>
        <v/>
      </c>
      <c r="G1353">
        <f>IF(E1353,A1353,10^9)</f>
        <v/>
      </c>
      <c r="H1353">
        <f>IF(E1353,D1353,10^9)</f>
        <v/>
      </c>
    </row>
    <row r="1354">
      <c r="A1354" t="n">
        <v>1346</v>
      </c>
      <c r="B1354" t="n">
        <v>0</v>
      </c>
      <c r="C1354" t="n">
        <v>0</v>
      </c>
      <c r="D1354" t="n">
        <v>1552.670986889335</v>
      </c>
      <c r="E1354">
        <f>C1354&lt;0.05</f>
        <v/>
      </c>
      <c r="F1354">
        <f>A1354=$B$5</f>
        <v/>
      </c>
      <c r="G1354">
        <f>IF(E1354,A1354,10^9)</f>
        <v/>
      </c>
      <c r="H1354">
        <f>IF(E1354,D1354,10^9)</f>
        <v/>
      </c>
    </row>
    <row r="1355">
      <c r="A1355" t="n">
        <v>1347</v>
      </c>
      <c r="B1355" t="n">
        <v>0</v>
      </c>
      <c r="C1355" t="n">
        <v>0</v>
      </c>
      <c r="D1355" t="n">
        <v>1553.670986889335</v>
      </c>
      <c r="E1355">
        <f>C1355&lt;0.05</f>
        <v/>
      </c>
      <c r="F1355">
        <f>A1355=$B$5</f>
        <v/>
      </c>
      <c r="G1355">
        <f>IF(E1355,A1355,10^9)</f>
        <v/>
      </c>
      <c r="H1355">
        <f>IF(E1355,D1355,10^9)</f>
        <v/>
      </c>
    </row>
    <row r="1356">
      <c r="A1356" t="n">
        <v>1348</v>
      </c>
      <c r="B1356" t="n">
        <v>0</v>
      </c>
      <c r="C1356" t="n">
        <v>0</v>
      </c>
      <c r="D1356" t="n">
        <v>1554.670986889335</v>
      </c>
      <c r="E1356">
        <f>C1356&lt;0.05</f>
        <v/>
      </c>
      <c r="F1356">
        <f>A1356=$B$5</f>
        <v/>
      </c>
      <c r="G1356">
        <f>IF(E1356,A1356,10^9)</f>
        <v/>
      </c>
      <c r="H1356">
        <f>IF(E1356,D1356,10^9)</f>
        <v/>
      </c>
    </row>
    <row r="1357">
      <c r="A1357" t="n">
        <v>1349</v>
      </c>
      <c r="B1357" t="n">
        <v>0</v>
      </c>
      <c r="C1357" t="n">
        <v>0</v>
      </c>
      <c r="D1357" t="n">
        <v>1555.670986889335</v>
      </c>
      <c r="E1357">
        <f>C1357&lt;0.05</f>
        <v/>
      </c>
      <c r="F1357">
        <f>A1357=$B$5</f>
        <v/>
      </c>
      <c r="G1357">
        <f>IF(E1357,A1357,10^9)</f>
        <v/>
      </c>
      <c r="H1357">
        <f>IF(E1357,D1357,10^9)</f>
        <v/>
      </c>
    </row>
    <row r="1358">
      <c r="A1358" t="n">
        <v>1350</v>
      </c>
      <c r="B1358" t="n">
        <v>0</v>
      </c>
      <c r="C1358" t="n">
        <v>0</v>
      </c>
      <c r="D1358" t="n">
        <v>1556.670986889335</v>
      </c>
      <c r="E1358">
        <f>C1358&lt;0.05</f>
        <v/>
      </c>
      <c r="F1358">
        <f>A1358=$B$5</f>
        <v/>
      </c>
      <c r="G1358">
        <f>IF(E1358,A1358,10^9)</f>
        <v/>
      </c>
      <c r="H1358">
        <f>IF(E1358,D1358,10^9)</f>
        <v/>
      </c>
    </row>
    <row r="1359">
      <c r="A1359" t="n">
        <v>1351</v>
      </c>
      <c r="B1359" t="n">
        <v>0</v>
      </c>
      <c r="C1359" t="n">
        <v>0</v>
      </c>
      <c r="D1359" t="n">
        <v>1557.670986889335</v>
      </c>
      <c r="E1359">
        <f>C1359&lt;0.05</f>
        <v/>
      </c>
      <c r="F1359">
        <f>A1359=$B$5</f>
        <v/>
      </c>
      <c r="G1359">
        <f>IF(E1359,A1359,10^9)</f>
        <v/>
      </c>
      <c r="H1359">
        <f>IF(E1359,D1359,10^9)</f>
        <v/>
      </c>
    </row>
    <row r="1360">
      <c r="A1360" t="n">
        <v>1352</v>
      </c>
      <c r="B1360" t="n">
        <v>0</v>
      </c>
      <c r="C1360" t="n">
        <v>0</v>
      </c>
      <c r="D1360" t="n">
        <v>1558.670986889335</v>
      </c>
      <c r="E1360">
        <f>C1360&lt;0.05</f>
        <v/>
      </c>
      <c r="F1360">
        <f>A1360=$B$5</f>
        <v/>
      </c>
      <c r="G1360">
        <f>IF(E1360,A1360,10^9)</f>
        <v/>
      </c>
      <c r="H1360">
        <f>IF(E1360,D1360,10^9)</f>
        <v/>
      </c>
    </row>
    <row r="1361">
      <c r="A1361" t="n">
        <v>1353</v>
      </c>
      <c r="B1361" t="n">
        <v>0</v>
      </c>
      <c r="C1361" t="n">
        <v>0</v>
      </c>
      <c r="D1361" t="n">
        <v>1559.670986889335</v>
      </c>
      <c r="E1361">
        <f>C1361&lt;0.05</f>
        <v/>
      </c>
      <c r="F1361">
        <f>A1361=$B$5</f>
        <v/>
      </c>
      <c r="G1361">
        <f>IF(E1361,A1361,10^9)</f>
        <v/>
      </c>
      <c r="H1361">
        <f>IF(E1361,D1361,10^9)</f>
        <v/>
      </c>
    </row>
    <row r="1362">
      <c r="A1362" t="n">
        <v>1354</v>
      </c>
      <c r="B1362" t="n">
        <v>0</v>
      </c>
      <c r="C1362" t="n">
        <v>0</v>
      </c>
      <c r="D1362" t="n">
        <v>1560.670986889335</v>
      </c>
      <c r="E1362">
        <f>C1362&lt;0.05</f>
        <v/>
      </c>
      <c r="F1362">
        <f>A1362=$B$5</f>
        <v/>
      </c>
      <c r="G1362">
        <f>IF(E1362,A1362,10^9)</f>
        <v/>
      </c>
      <c r="H1362">
        <f>IF(E1362,D1362,10^9)</f>
        <v/>
      </c>
    </row>
    <row r="1363">
      <c r="A1363" t="n">
        <v>1355</v>
      </c>
      <c r="B1363" t="n">
        <v>0</v>
      </c>
      <c r="C1363" t="n">
        <v>0</v>
      </c>
      <c r="D1363" t="n">
        <v>1561.670986889335</v>
      </c>
      <c r="E1363">
        <f>C1363&lt;0.05</f>
        <v/>
      </c>
      <c r="F1363">
        <f>A1363=$B$5</f>
        <v/>
      </c>
      <c r="G1363">
        <f>IF(E1363,A1363,10^9)</f>
        <v/>
      </c>
      <c r="H1363">
        <f>IF(E1363,D1363,10^9)</f>
        <v/>
      </c>
    </row>
    <row r="1364">
      <c r="A1364" t="n">
        <v>1356</v>
      </c>
      <c r="B1364" t="n">
        <v>0</v>
      </c>
      <c r="C1364" t="n">
        <v>0</v>
      </c>
      <c r="D1364" t="n">
        <v>1562.670986889335</v>
      </c>
      <c r="E1364">
        <f>C1364&lt;0.05</f>
        <v/>
      </c>
      <c r="F1364">
        <f>A1364=$B$5</f>
        <v/>
      </c>
      <c r="G1364">
        <f>IF(E1364,A1364,10^9)</f>
        <v/>
      </c>
      <c r="H1364">
        <f>IF(E1364,D1364,10^9)</f>
        <v/>
      </c>
    </row>
    <row r="1365">
      <c r="A1365" t="n">
        <v>1357</v>
      </c>
      <c r="B1365" t="n">
        <v>0</v>
      </c>
      <c r="C1365" t="n">
        <v>0</v>
      </c>
      <c r="D1365" t="n">
        <v>1563.670986889335</v>
      </c>
      <c r="E1365">
        <f>C1365&lt;0.05</f>
        <v/>
      </c>
      <c r="F1365">
        <f>A1365=$B$5</f>
        <v/>
      </c>
      <c r="G1365">
        <f>IF(E1365,A1365,10^9)</f>
        <v/>
      </c>
      <c r="H1365">
        <f>IF(E1365,D1365,10^9)</f>
        <v/>
      </c>
    </row>
    <row r="1366">
      <c r="A1366" t="n">
        <v>1358</v>
      </c>
      <c r="B1366" t="n">
        <v>0</v>
      </c>
      <c r="C1366" t="n">
        <v>0</v>
      </c>
      <c r="D1366" t="n">
        <v>1564.670986889335</v>
      </c>
      <c r="E1366">
        <f>C1366&lt;0.05</f>
        <v/>
      </c>
      <c r="F1366">
        <f>A1366=$B$5</f>
        <v/>
      </c>
      <c r="G1366">
        <f>IF(E1366,A1366,10^9)</f>
        <v/>
      </c>
      <c r="H1366">
        <f>IF(E1366,D1366,10^9)</f>
        <v/>
      </c>
    </row>
    <row r="1367">
      <c r="A1367" t="n">
        <v>1359</v>
      </c>
      <c r="B1367" t="n">
        <v>0</v>
      </c>
      <c r="C1367" t="n">
        <v>0</v>
      </c>
      <c r="D1367" t="n">
        <v>1565.670986889335</v>
      </c>
      <c r="E1367">
        <f>C1367&lt;0.05</f>
        <v/>
      </c>
      <c r="F1367">
        <f>A1367=$B$5</f>
        <v/>
      </c>
      <c r="G1367">
        <f>IF(E1367,A1367,10^9)</f>
        <v/>
      </c>
      <c r="H1367">
        <f>IF(E1367,D1367,10^9)</f>
        <v/>
      </c>
    </row>
    <row r="1368">
      <c r="A1368" t="n">
        <v>1360</v>
      </c>
      <c r="B1368" t="n">
        <v>0</v>
      </c>
      <c r="C1368" t="n">
        <v>0</v>
      </c>
      <c r="D1368" t="n">
        <v>1566.670986889335</v>
      </c>
      <c r="E1368">
        <f>C1368&lt;0.05</f>
        <v/>
      </c>
      <c r="F1368">
        <f>A1368=$B$5</f>
        <v/>
      </c>
      <c r="G1368">
        <f>IF(E1368,A1368,10^9)</f>
        <v/>
      </c>
      <c r="H1368">
        <f>IF(E1368,D1368,10^9)</f>
        <v/>
      </c>
    </row>
    <row r="1369">
      <c r="A1369" t="n">
        <v>1361</v>
      </c>
      <c r="B1369" t="n">
        <v>0</v>
      </c>
      <c r="C1369" t="n">
        <v>0</v>
      </c>
      <c r="D1369" t="n">
        <v>1567.670986889335</v>
      </c>
      <c r="E1369">
        <f>C1369&lt;0.05</f>
        <v/>
      </c>
      <c r="F1369">
        <f>A1369=$B$5</f>
        <v/>
      </c>
      <c r="G1369">
        <f>IF(E1369,A1369,10^9)</f>
        <v/>
      </c>
      <c r="H1369">
        <f>IF(E1369,D1369,10^9)</f>
        <v/>
      </c>
    </row>
    <row r="1370">
      <c r="A1370" t="n">
        <v>1362</v>
      </c>
      <c r="B1370" t="n">
        <v>0</v>
      </c>
      <c r="C1370" t="n">
        <v>0</v>
      </c>
      <c r="D1370" t="n">
        <v>1568.670986889335</v>
      </c>
      <c r="E1370">
        <f>C1370&lt;0.05</f>
        <v/>
      </c>
      <c r="F1370">
        <f>A1370=$B$5</f>
        <v/>
      </c>
      <c r="G1370">
        <f>IF(E1370,A1370,10^9)</f>
        <v/>
      </c>
      <c r="H1370">
        <f>IF(E1370,D1370,10^9)</f>
        <v/>
      </c>
    </row>
    <row r="1371">
      <c r="A1371" t="n">
        <v>1363</v>
      </c>
      <c r="B1371" t="n">
        <v>0</v>
      </c>
      <c r="C1371" t="n">
        <v>0</v>
      </c>
      <c r="D1371" t="n">
        <v>1569.670986889335</v>
      </c>
      <c r="E1371">
        <f>C1371&lt;0.05</f>
        <v/>
      </c>
      <c r="F1371">
        <f>A1371=$B$5</f>
        <v/>
      </c>
      <c r="G1371">
        <f>IF(E1371,A1371,10^9)</f>
        <v/>
      </c>
      <c r="H1371">
        <f>IF(E1371,D1371,10^9)</f>
        <v/>
      </c>
    </row>
    <row r="1372">
      <c r="A1372" t="n">
        <v>1364</v>
      </c>
      <c r="B1372" t="n">
        <v>0</v>
      </c>
      <c r="C1372" t="n">
        <v>0</v>
      </c>
      <c r="D1372" t="n">
        <v>1570.670986889335</v>
      </c>
      <c r="E1372">
        <f>C1372&lt;0.05</f>
        <v/>
      </c>
      <c r="F1372">
        <f>A1372=$B$5</f>
        <v/>
      </c>
      <c r="G1372">
        <f>IF(E1372,A1372,10^9)</f>
        <v/>
      </c>
      <c r="H1372">
        <f>IF(E1372,D1372,10^9)</f>
        <v/>
      </c>
    </row>
    <row r="1373">
      <c r="A1373" t="n">
        <v>1365</v>
      </c>
      <c r="B1373" t="n">
        <v>0</v>
      </c>
      <c r="C1373" t="n">
        <v>0</v>
      </c>
      <c r="D1373" t="n">
        <v>1571.670986889335</v>
      </c>
      <c r="E1373">
        <f>C1373&lt;0.05</f>
        <v/>
      </c>
      <c r="F1373">
        <f>A1373=$B$5</f>
        <v/>
      </c>
      <c r="G1373">
        <f>IF(E1373,A1373,10^9)</f>
        <v/>
      </c>
      <c r="H1373">
        <f>IF(E1373,D1373,10^9)</f>
        <v/>
      </c>
    </row>
    <row r="1374">
      <c r="A1374" t="n">
        <v>1366</v>
      </c>
      <c r="B1374" t="n">
        <v>0</v>
      </c>
      <c r="C1374" t="n">
        <v>0</v>
      </c>
      <c r="D1374" t="n">
        <v>1572.670986889335</v>
      </c>
      <c r="E1374">
        <f>C1374&lt;0.05</f>
        <v/>
      </c>
      <c r="F1374">
        <f>A1374=$B$5</f>
        <v/>
      </c>
      <c r="G1374">
        <f>IF(E1374,A1374,10^9)</f>
        <v/>
      </c>
      <c r="H1374">
        <f>IF(E1374,D1374,10^9)</f>
        <v/>
      </c>
    </row>
    <row r="1375">
      <c r="A1375" t="n">
        <v>1367</v>
      </c>
      <c r="B1375" t="n">
        <v>0</v>
      </c>
      <c r="C1375" t="n">
        <v>0</v>
      </c>
      <c r="D1375" t="n">
        <v>1573.670986889335</v>
      </c>
      <c r="E1375">
        <f>C1375&lt;0.05</f>
        <v/>
      </c>
      <c r="F1375">
        <f>A1375=$B$5</f>
        <v/>
      </c>
      <c r="G1375">
        <f>IF(E1375,A1375,10^9)</f>
        <v/>
      </c>
      <c r="H1375">
        <f>IF(E1375,D1375,10^9)</f>
        <v/>
      </c>
    </row>
    <row r="1376">
      <c r="A1376" t="n">
        <v>1368</v>
      </c>
      <c r="B1376" t="n">
        <v>0</v>
      </c>
      <c r="C1376" t="n">
        <v>0</v>
      </c>
      <c r="D1376" t="n">
        <v>1574.670986889335</v>
      </c>
      <c r="E1376">
        <f>C1376&lt;0.05</f>
        <v/>
      </c>
      <c r="F1376">
        <f>A1376=$B$5</f>
        <v/>
      </c>
      <c r="G1376">
        <f>IF(E1376,A1376,10^9)</f>
        <v/>
      </c>
      <c r="H1376">
        <f>IF(E1376,D1376,10^9)</f>
        <v/>
      </c>
    </row>
    <row r="1377">
      <c r="A1377" t="n">
        <v>1369</v>
      </c>
      <c r="B1377" t="n">
        <v>0</v>
      </c>
      <c r="C1377" t="n">
        <v>0</v>
      </c>
      <c r="D1377" t="n">
        <v>1575.670986889335</v>
      </c>
      <c r="E1377">
        <f>C1377&lt;0.05</f>
        <v/>
      </c>
      <c r="F1377">
        <f>A1377=$B$5</f>
        <v/>
      </c>
      <c r="G1377">
        <f>IF(E1377,A1377,10^9)</f>
        <v/>
      </c>
      <c r="H1377">
        <f>IF(E1377,D1377,10^9)</f>
        <v/>
      </c>
    </row>
    <row r="1378">
      <c r="A1378" t="n">
        <v>1370</v>
      </c>
      <c r="B1378" t="n">
        <v>0</v>
      </c>
      <c r="C1378" t="n">
        <v>0</v>
      </c>
      <c r="D1378" t="n">
        <v>1576.670986889335</v>
      </c>
      <c r="E1378">
        <f>C1378&lt;0.05</f>
        <v/>
      </c>
      <c r="F1378">
        <f>A1378=$B$5</f>
        <v/>
      </c>
      <c r="G1378">
        <f>IF(E1378,A1378,10^9)</f>
        <v/>
      </c>
      <c r="H1378">
        <f>IF(E1378,D1378,10^9)</f>
        <v/>
      </c>
    </row>
    <row r="1379">
      <c r="A1379" t="n">
        <v>1371</v>
      </c>
      <c r="B1379" t="n">
        <v>0</v>
      </c>
      <c r="C1379" t="n">
        <v>0</v>
      </c>
      <c r="D1379" t="n">
        <v>1577.670986889335</v>
      </c>
      <c r="E1379">
        <f>C1379&lt;0.05</f>
        <v/>
      </c>
      <c r="F1379">
        <f>A1379=$B$5</f>
        <v/>
      </c>
      <c r="G1379">
        <f>IF(E1379,A1379,10^9)</f>
        <v/>
      </c>
      <c r="H1379">
        <f>IF(E1379,D1379,10^9)</f>
        <v/>
      </c>
    </row>
    <row r="1380">
      <c r="A1380" t="n">
        <v>1372</v>
      </c>
      <c r="B1380" t="n">
        <v>0</v>
      </c>
      <c r="C1380" t="n">
        <v>0</v>
      </c>
      <c r="D1380" t="n">
        <v>1578.670986889335</v>
      </c>
      <c r="E1380">
        <f>C1380&lt;0.05</f>
        <v/>
      </c>
      <c r="F1380">
        <f>A1380=$B$5</f>
        <v/>
      </c>
      <c r="G1380">
        <f>IF(E1380,A1380,10^9)</f>
        <v/>
      </c>
      <c r="H1380">
        <f>IF(E1380,D1380,10^9)</f>
        <v/>
      </c>
    </row>
    <row r="1381">
      <c r="A1381" t="n">
        <v>1373</v>
      </c>
      <c r="B1381" t="n">
        <v>0</v>
      </c>
      <c r="C1381" t="n">
        <v>0</v>
      </c>
      <c r="D1381" t="n">
        <v>1579.670986889335</v>
      </c>
      <c r="E1381">
        <f>C1381&lt;0.05</f>
        <v/>
      </c>
      <c r="F1381">
        <f>A1381=$B$5</f>
        <v/>
      </c>
      <c r="G1381">
        <f>IF(E1381,A1381,10^9)</f>
        <v/>
      </c>
      <c r="H1381">
        <f>IF(E1381,D1381,10^9)</f>
        <v/>
      </c>
    </row>
    <row r="1382">
      <c r="A1382" t="n">
        <v>1374</v>
      </c>
      <c r="B1382" t="n">
        <v>0</v>
      </c>
      <c r="C1382" t="n">
        <v>0</v>
      </c>
      <c r="D1382" t="n">
        <v>1580.670986889335</v>
      </c>
      <c r="E1382">
        <f>C1382&lt;0.05</f>
        <v/>
      </c>
      <c r="F1382">
        <f>A1382=$B$5</f>
        <v/>
      </c>
      <c r="G1382">
        <f>IF(E1382,A1382,10^9)</f>
        <v/>
      </c>
      <c r="H1382">
        <f>IF(E1382,D1382,10^9)</f>
        <v/>
      </c>
    </row>
    <row r="1383">
      <c r="A1383" t="n">
        <v>1375</v>
      </c>
      <c r="B1383" t="n">
        <v>0</v>
      </c>
      <c r="C1383" t="n">
        <v>0</v>
      </c>
      <c r="D1383" t="n">
        <v>1581.670986889335</v>
      </c>
      <c r="E1383">
        <f>C1383&lt;0.05</f>
        <v/>
      </c>
      <c r="F1383">
        <f>A1383=$B$5</f>
        <v/>
      </c>
      <c r="G1383">
        <f>IF(E1383,A1383,10^9)</f>
        <v/>
      </c>
      <c r="H1383">
        <f>IF(E1383,D1383,10^9)</f>
        <v/>
      </c>
    </row>
    <row r="1384">
      <c r="A1384" t="n">
        <v>1376</v>
      </c>
      <c r="B1384" t="n">
        <v>0</v>
      </c>
      <c r="C1384" t="n">
        <v>0</v>
      </c>
      <c r="D1384" t="n">
        <v>1582.670986889335</v>
      </c>
      <c r="E1384">
        <f>C1384&lt;0.05</f>
        <v/>
      </c>
      <c r="F1384">
        <f>A1384=$B$5</f>
        <v/>
      </c>
      <c r="G1384">
        <f>IF(E1384,A1384,10^9)</f>
        <v/>
      </c>
      <c r="H1384">
        <f>IF(E1384,D1384,10^9)</f>
        <v/>
      </c>
    </row>
    <row r="1385">
      <c r="A1385" t="n">
        <v>1377</v>
      </c>
      <c r="B1385" t="n">
        <v>0</v>
      </c>
      <c r="C1385" t="n">
        <v>0</v>
      </c>
      <c r="D1385" t="n">
        <v>1583.670986889335</v>
      </c>
      <c r="E1385">
        <f>C1385&lt;0.05</f>
        <v/>
      </c>
      <c r="F1385">
        <f>A1385=$B$5</f>
        <v/>
      </c>
      <c r="G1385">
        <f>IF(E1385,A1385,10^9)</f>
        <v/>
      </c>
      <c r="H1385">
        <f>IF(E1385,D1385,10^9)</f>
        <v/>
      </c>
    </row>
    <row r="1386">
      <c r="A1386" t="n">
        <v>1378</v>
      </c>
      <c r="B1386" t="n">
        <v>0</v>
      </c>
      <c r="C1386" t="n">
        <v>0</v>
      </c>
      <c r="D1386" t="n">
        <v>1584.670986889335</v>
      </c>
      <c r="E1386">
        <f>C1386&lt;0.05</f>
        <v/>
      </c>
      <c r="F1386">
        <f>A1386=$B$5</f>
        <v/>
      </c>
      <c r="G1386">
        <f>IF(E1386,A1386,10^9)</f>
        <v/>
      </c>
      <c r="H1386">
        <f>IF(E1386,D1386,10^9)</f>
        <v/>
      </c>
    </row>
    <row r="1387">
      <c r="A1387" t="n">
        <v>1379</v>
      </c>
      <c r="B1387" t="n">
        <v>0</v>
      </c>
      <c r="C1387" t="n">
        <v>0</v>
      </c>
      <c r="D1387" t="n">
        <v>1585.670986889335</v>
      </c>
      <c r="E1387">
        <f>C1387&lt;0.05</f>
        <v/>
      </c>
      <c r="F1387">
        <f>A1387=$B$5</f>
        <v/>
      </c>
      <c r="G1387">
        <f>IF(E1387,A1387,10^9)</f>
        <v/>
      </c>
      <c r="H1387">
        <f>IF(E1387,D1387,10^9)</f>
        <v/>
      </c>
    </row>
    <row r="1388">
      <c r="A1388" t="n">
        <v>1380</v>
      </c>
      <c r="B1388" t="n">
        <v>0</v>
      </c>
      <c r="C1388" t="n">
        <v>0</v>
      </c>
      <c r="D1388" t="n">
        <v>1586.670986889335</v>
      </c>
      <c r="E1388">
        <f>C1388&lt;0.05</f>
        <v/>
      </c>
      <c r="F1388">
        <f>A1388=$B$5</f>
        <v/>
      </c>
      <c r="G1388">
        <f>IF(E1388,A1388,10^9)</f>
        <v/>
      </c>
      <c r="H1388">
        <f>IF(E1388,D1388,10^9)</f>
        <v/>
      </c>
    </row>
    <row r="1389">
      <c r="A1389" t="n">
        <v>1381</v>
      </c>
      <c r="B1389" t="n">
        <v>0</v>
      </c>
      <c r="C1389" t="n">
        <v>0</v>
      </c>
      <c r="D1389" t="n">
        <v>1587.670986889335</v>
      </c>
      <c r="E1389">
        <f>C1389&lt;0.05</f>
        <v/>
      </c>
      <c r="F1389">
        <f>A1389=$B$5</f>
        <v/>
      </c>
      <c r="G1389">
        <f>IF(E1389,A1389,10^9)</f>
        <v/>
      </c>
      <c r="H1389">
        <f>IF(E1389,D1389,10^9)</f>
        <v/>
      </c>
    </row>
    <row r="1390">
      <c r="A1390" t="n">
        <v>1382</v>
      </c>
      <c r="B1390" t="n">
        <v>0</v>
      </c>
      <c r="C1390" t="n">
        <v>0</v>
      </c>
      <c r="D1390" t="n">
        <v>1588.670986889335</v>
      </c>
      <c r="E1390">
        <f>C1390&lt;0.05</f>
        <v/>
      </c>
      <c r="F1390">
        <f>A1390=$B$5</f>
        <v/>
      </c>
      <c r="G1390">
        <f>IF(E1390,A1390,10^9)</f>
        <v/>
      </c>
      <c r="H1390">
        <f>IF(E1390,D1390,10^9)</f>
        <v/>
      </c>
    </row>
    <row r="1391">
      <c r="A1391" t="n">
        <v>1383</v>
      </c>
      <c r="B1391" t="n">
        <v>0</v>
      </c>
      <c r="C1391" t="n">
        <v>0</v>
      </c>
      <c r="D1391" t="n">
        <v>1589.670986889335</v>
      </c>
      <c r="E1391">
        <f>C1391&lt;0.05</f>
        <v/>
      </c>
      <c r="F1391">
        <f>A1391=$B$5</f>
        <v/>
      </c>
      <c r="G1391">
        <f>IF(E1391,A1391,10^9)</f>
        <v/>
      </c>
      <c r="H1391">
        <f>IF(E1391,D1391,10^9)</f>
        <v/>
      </c>
    </row>
    <row r="1392">
      <c r="A1392" t="n">
        <v>1384</v>
      </c>
      <c r="B1392" t="n">
        <v>0</v>
      </c>
      <c r="C1392" t="n">
        <v>0</v>
      </c>
      <c r="D1392" t="n">
        <v>1590.670986889335</v>
      </c>
      <c r="E1392">
        <f>C1392&lt;0.05</f>
        <v/>
      </c>
      <c r="F1392">
        <f>A1392=$B$5</f>
        <v/>
      </c>
      <c r="G1392">
        <f>IF(E1392,A1392,10^9)</f>
        <v/>
      </c>
      <c r="H1392">
        <f>IF(E1392,D1392,10^9)</f>
        <v/>
      </c>
    </row>
    <row r="1393">
      <c r="A1393" t="n">
        <v>1385</v>
      </c>
      <c r="B1393" t="n">
        <v>0</v>
      </c>
      <c r="C1393" t="n">
        <v>0</v>
      </c>
      <c r="D1393" t="n">
        <v>1591.670986889335</v>
      </c>
      <c r="E1393">
        <f>C1393&lt;0.05</f>
        <v/>
      </c>
      <c r="F1393">
        <f>A1393=$B$5</f>
        <v/>
      </c>
      <c r="G1393">
        <f>IF(E1393,A1393,10^9)</f>
        <v/>
      </c>
      <c r="H1393">
        <f>IF(E1393,D1393,10^9)</f>
        <v/>
      </c>
    </row>
    <row r="1394">
      <c r="A1394" t="n">
        <v>1386</v>
      </c>
      <c r="B1394" t="n">
        <v>0</v>
      </c>
      <c r="C1394" t="n">
        <v>0</v>
      </c>
      <c r="D1394" t="n">
        <v>1592.670986889335</v>
      </c>
      <c r="E1394">
        <f>C1394&lt;0.05</f>
        <v/>
      </c>
      <c r="F1394">
        <f>A1394=$B$5</f>
        <v/>
      </c>
      <c r="G1394">
        <f>IF(E1394,A1394,10^9)</f>
        <v/>
      </c>
      <c r="H1394">
        <f>IF(E1394,D1394,10^9)</f>
        <v/>
      </c>
    </row>
    <row r="1395">
      <c r="A1395" t="n">
        <v>1387</v>
      </c>
      <c r="B1395" t="n">
        <v>0</v>
      </c>
      <c r="C1395" t="n">
        <v>0</v>
      </c>
      <c r="D1395" t="n">
        <v>1593.670986889335</v>
      </c>
      <c r="E1395">
        <f>C1395&lt;0.05</f>
        <v/>
      </c>
      <c r="F1395">
        <f>A1395=$B$5</f>
        <v/>
      </c>
      <c r="G1395">
        <f>IF(E1395,A1395,10^9)</f>
        <v/>
      </c>
      <c r="H1395">
        <f>IF(E1395,D1395,10^9)</f>
        <v/>
      </c>
    </row>
    <row r="1396">
      <c r="A1396" t="n">
        <v>1388</v>
      </c>
      <c r="B1396" t="n">
        <v>0</v>
      </c>
      <c r="C1396" t="n">
        <v>0</v>
      </c>
      <c r="D1396" t="n">
        <v>1594.670986889335</v>
      </c>
      <c r="E1396">
        <f>C1396&lt;0.05</f>
        <v/>
      </c>
      <c r="F1396">
        <f>A1396=$B$5</f>
        <v/>
      </c>
      <c r="G1396">
        <f>IF(E1396,A1396,10^9)</f>
        <v/>
      </c>
      <c r="H1396">
        <f>IF(E1396,D1396,10^9)</f>
        <v/>
      </c>
    </row>
    <row r="1397">
      <c r="A1397" t="n">
        <v>1389</v>
      </c>
      <c r="B1397" t="n">
        <v>0</v>
      </c>
      <c r="C1397" t="n">
        <v>0</v>
      </c>
      <c r="D1397" t="n">
        <v>1595.670986889335</v>
      </c>
      <c r="E1397">
        <f>C1397&lt;0.05</f>
        <v/>
      </c>
      <c r="F1397">
        <f>A1397=$B$5</f>
        <v/>
      </c>
      <c r="G1397">
        <f>IF(E1397,A1397,10^9)</f>
        <v/>
      </c>
      <c r="H1397">
        <f>IF(E1397,D1397,10^9)</f>
        <v/>
      </c>
    </row>
    <row r="1398">
      <c r="A1398" t="n">
        <v>1390</v>
      </c>
      <c r="B1398" t="n">
        <v>0</v>
      </c>
      <c r="C1398" t="n">
        <v>0</v>
      </c>
      <c r="D1398" t="n">
        <v>1596.670986889335</v>
      </c>
      <c r="E1398">
        <f>C1398&lt;0.05</f>
        <v/>
      </c>
      <c r="F1398">
        <f>A1398=$B$5</f>
        <v/>
      </c>
      <c r="G1398">
        <f>IF(E1398,A1398,10^9)</f>
        <v/>
      </c>
      <c r="H1398">
        <f>IF(E1398,D1398,10^9)</f>
        <v/>
      </c>
    </row>
    <row r="1399">
      <c r="A1399" t="n">
        <v>1391</v>
      </c>
      <c r="B1399" t="n">
        <v>0</v>
      </c>
      <c r="C1399" t="n">
        <v>0</v>
      </c>
      <c r="D1399" t="n">
        <v>1597.670986889335</v>
      </c>
      <c r="E1399">
        <f>C1399&lt;0.05</f>
        <v/>
      </c>
      <c r="F1399">
        <f>A1399=$B$5</f>
        <v/>
      </c>
      <c r="G1399">
        <f>IF(E1399,A1399,10^9)</f>
        <v/>
      </c>
      <c r="H1399">
        <f>IF(E1399,D1399,10^9)</f>
        <v/>
      </c>
    </row>
    <row r="1400">
      <c r="A1400" t="n">
        <v>1392</v>
      </c>
      <c r="B1400" t="n">
        <v>0</v>
      </c>
      <c r="C1400" t="n">
        <v>0</v>
      </c>
      <c r="D1400" t="n">
        <v>1598.670986889335</v>
      </c>
      <c r="E1400">
        <f>C1400&lt;0.05</f>
        <v/>
      </c>
      <c r="F1400">
        <f>A1400=$B$5</f>
        <v/>
      </c>
      <c r="G1400">
        <f>IF(E1400,A1400,10^9)</f>
        <v/>
      </c>
      <c r="H1400">
        <f>IF(E1400,D1400,10^9)</f>
        <v/>
      </c>
    </row>
    <row r="1401">
      <c r="A1401" t="n">
        <v>1393</v>
      </c>
      <c r="B1401" t="n">
        <v>0</v>
      </c>
      <c r="C1401" t="n">
        <v>0</v>
      </c>
      <c r="D1401" t="n">
        <v>1599.670986889335</v>
      </c>
      <c r="E1401">
        <f>C1401&lt;0.05</f>
        <v/>
      </c>
      <c r="F1401">
        <f>A1401=$B$5</f>
        <v/>
      </c>
      <c r="G1401">
        <f>IF(E1401,A1401,10^9)</f>
        <v/>
      </c>
      <c r="H1401">
        <f>IF(E1401,D1401,10^9)</f>
        <v/>
      </c>
    </row>
    <row r="1402">
      <c r="A1402" t="n">
        <v>1394</v>
      </c>
      <c r="B1402" t="n">
        <v>0</v>
      </c>
      <c r="C1402" t="n">
        <v>0</v>
      </c>
      <c r="D1402" t="n">
        <v>1600.670986889335</v>
      </c>
      <c r="E1402">
        <f>C1402&lt;0.05</f>
        <v/>
      </c>
      <c r="F1402">
        <f>A1402=$B$5</f>
        <v/>
      </c>
      <c r="G1402">
        <f>IF(E1402,A1402,10^9)</f>
        <v/>
      </c>
      <c r="H1402">
        <f>IF(E1402,D1402,10^9)</f>
        <v/>
      </c>
    </row>
    <row r="1403">
      <c r="A1403" t="n">
        <v>1395</v>
      </c>
      <c r="B1403" t="n">
        <v>0</v>
      </c>
      <c r="C1403" t="n">
        <v>0</v>
      </c>
      <c r="D1403" t="n">
        <v>1601.670986889335</v>
      </c>
      <c r="E1403">
        <f>C1403&lt;0.05</f>
        <v/>
      </c>
      <c r="F1403">
        <f>A1403=$B$5</f>
        <v/>
      </c>
      <c r="G1403">
        <f>IF(E1403,A1403,10^9)</f>
        <v/>
      </c>
      <c r="H1403">
        <f>IF(E1403,D1403,10^9)</f>
        <v/>
      </c>
    </row>
    <row r="1404">
      <c r="A1404" t="n">
        <v>1396</v>
      </c>
      <c r="B1404" t="n">
        <v>0</v>
      </c>
      <c r="C1404" t="n">
        <v>0</v>
      </c>
      <c r="D1404" t="n">
        <v>1602.670986889335</v>
      </c>
      <c r="E1404">
        <f>C1404&lt;0.05</f>
        <v/>
      </c>
      <c r="F1404">
        <f>A1404=$B$5</f>
        <v/>
      </c>
      <c r="G1404">
        <f>IF(E1404,A1404,10^9)</f>
        <v/>
      </c>
      <c r="H1404">
        <f>IF(E1404,D1404,10^9)</f>
        <v/>
      </c>
    </row>
    <row r="1405">
      <c r="A1405" t="n">
        <v>1397</v>
      </c>
      <c r="B1405" t="n">
        <v>0</v>
      </c>
      <c r="C1405" t="n">
        <v>0</v>
      </c>
      <c r="D1405" t="n">
        <v>1603.670986889335</v>
      </c>
      <c r="E1405">
        <f>C1405&lt;0.05</f>
        <v/>
      </c>
      <c r="F1405">
        <f>A1405=$B$5</f>
        <v/>
      </c>
      <c r="G1405">
        <f>IF(E1405,A1405,10^9)</f>
        <v/>
      </c>
      <c r="H1405">
        <f>IF(E1405,D1405,10^9)</f>
        <v/>
      </c>
    </row>
    <row r="1406">
      <c r="A1406" t="n">
        <v>1398</v>
      </c>
      <c r="B1406" t="n">
        <v>0</v>
      </c>
      <c r="C1406" t="n">
        <v>0</v>
      </c>
      <c r="D1406" t="n">
        <v>1604.670986889335</v>
      </c>
      <c r="E1406">
        <f>C1406&lt;0.05</f>
        <v/>
      </c>
      <c r="F1406">
        <f>A1406=$B$5</f>
        <v/>
      </c>
      <c r="G1406">
        <f>IF(E1406,A1406,10^9)</f>
        <v/>
      </c>
      <c r="H1406">
        <f>IF(E1406,D1406,10^9)</f>
        <v/>
      </c>
    </row>
    <row r="1407">
      <c r="A1407" t="n">
        <v>1399</v>
      </c>
      <c r="B1407" t="n">
        <v>0</v>
      </c>
      <c r="C1407" t="n">
        <v>0</v>
      </c>
      <c r="D1407" t="n">
        <v>1605.670986889335</v>
      </c>
      <c r="E1407">
        <f>C1407&lt;0.05</f>
        <v/>
      </c>
      <c r="F1407">
        <f>A1407=$B$5</f>
        <v/>
      </c>
      <c r="G1407">
        <f>IF(E1407,A1407,10^9)</f>
        <v/>
      </c>
      <c r="H1407">
        <f>IF(E1407,D1407,10^9)</f>
        <v/>
      </c>
    </row>
    <row r="1408">
      <c r="A1408" t="n">
        <v>1400</v>
      </c>
      <c r="B1408" t="n">
        <v>0</v>
      </c>
      <c r="C1408" t="n">
        <v>0</v>
      </c>
      <c r="D1408" t="n">
        <v>1606.670986889335</v>
      </c>
      <c r="E1408">
        <f>C1408&lt;0.05</f>
        <v/>
      </c>
      <c r="F1408">
        <f>A1408=$B$5</f>
        <v/>
      </c>
      <c r="G1408">
        <f>IF(E1408,A1408,10^9)</f>
        <v/>
      </c>
      <c r="H1408">
        <f>IF(E1408,D1408,10^9)</f>
        <v/>
      </c>
    </row>
    <row r="1409">
      <c r="A1409" t="n">
        <v>1401</v>
      </c>
      <c r="B1409" t="n">
        <v>0</v>
      </c>
      <c r="C1409" t="n">
        <v>0</v>
      </c>
      <c r="D1409" t="n">
        <v>1607.670986889335</v>
      </c>
      <c r="E1409">
        <f>C1409&lt;0.05</f>
        <v/>
      </c>
      <c r="F1409">
        <f>A1409=$B$5</f>
        <v/>
      </c>
      <c r="G1409">
        <f>IF(E1409,A1409,10^9)</f>
        <v/>
      </c>
      <c r="H1409">
        <f>IF(E1409,D1409,10^9)</f>
        <v/>
      </c>
    </row>
    <row r="1410">
      <c r="A1410" t="n">
        <v>1402</v>
      </c>
      <c r="B1410" t="n">
        <v>0</v>
      </c>
      <c r="C1410" t="n">
        <v>0</v>
      </c>
      <c r="D1410" t="n">
        <v>1608.670986889335</v>
      </c>
      <c r="E1410">
        <f>C1410&lt;0.05</f>
        <v/>
      </c>
      <c r="F1410">
        <f>A1410=$B$5</f>
        <v/>
      </c>
      <c r="G1410">
        <f>IF(E1410,A1410,10^9)</f>
        <v/>
      </c>
      <c r="H1410">
        <f>IF(E1410,D1410,10^9)</f>
        <v/>
      </c>
    </row>
    <row r="1411">
      <c r="A1411" t="n">
        <v>1403</v>
      </c>
      <c r="B1411" t="n">
        <v>0</v>
      </c>
      <c r="C1411" t="n">
        <v>0</v>
      </c>
      <c r="D1411" t="n">
        <v>1609.670986889335</v>
      </c>
      <c r="E1411">
        <f>C1411&lt;0.05</f>
        <v/>
      </c>
      <c r="F1411">
        <f>A1411=$B$5</f>
        <v/>
      </c>
      <c r="G1411">
        <f>IF(E1411,A1411,10^9)</f>
        <v/>
      </c>
      <c r="H1411">
        <f>IF(E1411,D1411,10^9)</f>
        <v/>
      </c>
    </row>
    <row r="1412">
      <c r="A1412" t="n">
        <v>1404</v>
      </c>
      <c r="B1412" t="n">
        <v>0</v>
      </c>
      <c r="C1412" t="n">
        <v>0</v>
      </c>
      <c r="D1412" t="n">
        <v>1610.670986889335</v>
      </c>
      <c r="E1412">
        <f>C1412&lt;0.05</f>
        <v/>
      </c>
      <c r="F1412">
        <f>A1412=$B$5</f>
        <v/>
      </c>
      <c r="G1412">
        <f>IF(E1412,A1412,10^9)</f>
        <v/>
      </c>
      <c r="H1412">
        <f>IF(E1412,D1412,10^9)</f>
        <v/>
      </c>
    </row>
    <row r="1413">
      <c r="A1413" t="n">
        <v>1405</v>
      </c>
      <c r="B1413" t="n">
        <v>0</v>
      </c>
      <c r="C1413" t="n">
        <v>0</v>
      </c>
      <c r="D1413" t="n">
        <v>1611.670986889335</v>
      </c>
      <c r="E1413">
        <f>C1413&lt;0.05</f>
        <v/>
      </c>
      <c r="F1413">
        <f>A1413=$B$5</f>
        <v/>
      </c>
      <c r="G1413">
        <f>IF(E1413,A1413,10^9)</f>
        <v/>
      </c>
      <c r="H1413">
        <f>IF(E1413,D1413,10^9)</f>
        <v/>
      </c>
    </row>
    <row r="1414">
      <c r="A1414" t="n">
        <v>1406</v>
      </c>
      <c r="B1414" t="n">
        <v>0</v>
      </c>
      <c r="C1414" t="n">
        <v>0</v>
      </c>
      <c r="D1414" t="n">
        <v>1612.670986889335</v>
      </c>
      <c r="E1414">
        <f>C1414&lt;0.05</f>
        <v/>
      </c>
      <c r="F1414">
        <f>A1414=$B$5</f>
        <v/>
      </c>
      <c r="G1414">
        <f>IF(E1414,A1414,10^9)</f>
        <v/>
      </c>
      <c r="H1414">
        <f>IF(E1414,D1414,10^9)</f>
        <v/>
      </c>
    </row>
    <row r="1415">
      <c r="A1415" t="n">
        <v>1407</v>
      </c>
      <c r="B1415" t="n">
        <v>0</v>
      </c>
      <c r="C1415" t="n">
        <v>0</v>
      </c>
      <c r="D1415" t="n">
        <v>1613.670986889335</v>
      </c>
      <c r="E1415">
        <f>C1415&lt;0.05</f>
        <v/>
      </c>
      <c r="F1415">
        <f>A1415=$B$5</f>
        <v/>
      </c>
      <c r="G1415">
        <f>IF(E1415,A1415,10^9)</f>
        <v/>
      </c>
      <c r="H1415">
        <f>IF(E1415,D1415,10^9)</f>
        <v/>
      </c>
    </row>
    <row r="1416">
      <c r="A1416" t="n">
        <v>1408</v>
      </c>
      <c r="B1416" t="n">
        <v>0</v>
      </c>
      <c r="C1416" t="n">
        <v>0</v>
      </c>
      <c r="D1416" t="n">
        <v>1614.670986889335</v>
      </c>
      <c r="E1416">
        <f>C1416&lt;0.05</f>
        <v/>
      </c>
      <c r="F1416">
        <f>A1416=$B$5</f>
        <v/>
      </c>
      <c r="G1416">
        <f>IF(E1416,A1416,10^9)</f>
        <v/>
      </c>
      <c r="H1416">
        <f>IF(E1416,D1416,10^9)</f>
        <v/>
      </c>
    </row>
    <row r="1417">
      <c r="A1417" t="n">
        <v>1409</v>
      </c>
      <c r="B1417" t="n">
        <v>0</v>
      </c>
      <c r="C1417" t="n">
        <v>0</v>
      </c>
      <c r="D1417" t="n">
        <v>1615.670986889335</v>
      </c>
      <c r="E1417">
        <f>C1417&lt;0.05</f>
        <v/>
      </c>
      <c r="F1417">
        <f>A1417=$B$5</f>
        <v/>
      </c>
      <c r="G1417">
        <f>IF(E1417,A1417,10^9)</f>
        <v/>
      </c>
      <c r="H1417">
        <f>IF(E1417,D1417,10^9)</f>
        <v/>
      </c>
    </row>
    <row r="1418">
      <c r="A1418" t="n">
        <v>1410</v>
      </c>
      <c r="B1418" t="n">
        <v>0</v>
      </c>
      <c r="C1418" t="n">
        <v>0</v>
      </c>
      <c r="D1418" t="n">
        <v>1616.670986889335</v>
      </c>
      <c r="E1418">
        <f>C1418&lt;0.05</f>
        <v/>
      </c>
      <c r="F1418">
        <f>A1418=$B$5</f>
        <v/>
      </c>
      <c r="G1418">
        <f>IF(E1418,A1418,10^9)</f>
        <v/>
      </c>
      <c r="H1418">
        <f>IF(E1418,D1418,10^9)</f>
        <v/>
      </c>
    </row>
    <row r="1419">
      <c r="A1419" t="n">
        <v>1411</v>
      </c>
      <c r="B1419" t="n">
        <v>0</v>
      </c>
      <c r="C1419" t="n">
        <v>0</v>
      </c>
      <c r="D1419" t="n">
        <v>1617.670986889335</v>
      </c>
      <c r="E1419">
        <f>C1419&lt;0.05</f>
        <v/>
      </c>
      <c r="F1419">
        <f>A1419=$B$5</f>
        <v/>
      </c>
      <c r="G1419">
        <f>IF(E1419,A1419,10^9)</f>
        <v/>
      </c>
      <c r="H1419">
        <f>IF(E1419,D1419,10^9)</f>
        <v/>
      </c>
    </row>
    <row r="1420">
      <c r="A1420" t="n">
        <v>1412</v>
      </c>
      <c r="B1420" t="n">
        <v>0</v>
      </c>
      <c r="C1420" t="n">
        <v>0</v>
      </c>
      <c r="D1420" t="n">
        <v>1618.670986889335</v>
      </c>
      <c r="E1420">
        <f>C1420&lt;0.05</f>
        <v/>
      </c>
      <c r="F1420">
        <f>A1420=$B$5</f>
        <v/>
      </c>
      <c r="G1420">
        <f>IF(E1420,A1420,10^9)</f>
        <v/>
      </c>
      <c r="H1420">
        <f>IF(E1420,D1420,10^9)</f>
        <v/>
      </c>
    </row>
    <row r="1421">
      <c r="A1421" t="n">
        <v>1413</v>
      </c>
      <c r="B1421" t="n">
        <v>0</v>
      </c>
      <c r="C1421" t="n">
        <v>0</v>
      </c>
      <c r="D1421" t="n">
        <v>1619.670986889335</v>
      </c>
      <c r="E1421">
        <f>C1421&lt;0.05</f>
        <v/>
      </c>
      <c r="F1421">
        <f>A1421=$B$5</f>
        <v/>
      </c>
      <c r="G1421">
        <f>IF(E1421,A1421,10^9)</f>
        <v/>
      </c>
      <c r="H1421">
        <f>IF(E1421,D1421,10^9)</f>
        <v/>
      </c>
    </row>
    <row r="1422">
      <c r="A1422" t="n">
        <v>1414</v>
      </c>
      <c r="B1422" t="n">
        <v>0</v>
      </c>
      <c r="C1422" t="n">
        <v>0</v>
      </c>
      <c r="D1422" t="n">
        <v>1620.670986889335</v>
      </c>
      <c r="E1422">
        <f>C1422&lt;0.05</f>
        <v/>
      </c>
      <c r="F1422">
        <f>A1422=$B$5</f>
        <v/>
      </c>
      <c r="G1422">
        <f>IF(E1422,A1422,10^9)</f>
        <v/>
      </c>
      <c r="H1422">
        <f>IF(E1422,D1422,10^9)</f>
        <v/>
      </c>
    </row>
    <row r="1423">
      <c r="A1423" t="n">
        <v>1415</v>
      </c>
      <c r="B1423" t="n">
        <v>0</v>
      </c>
      <c r="C1423" t="n">
        <v>0</v>
      </c>
      <c r="D1423" t="n">
        <v>1621.670986889335</v>
      </c>
      <c r="E1423">
        <f>C1423&lt;0.05</f>
        <v/>
      </c>
      <c r="F1423">
        <f>A1423=$B$5</f>
        <v/>
      </c>
      <c r="G1423">
        <f>IF(E1423,A1423,10^9)</f>
        <v/>
      </c>
      <c r="H1423">
        <f>IF(E1423,D1423,10^9)</f>
        <v/>
      </c>
    </row>
    <row r="1424">
      <c r="A1424" t="n">
        <v>1416</v>
      </c>
      <c r="B1424" t="n">
        <v>0</v>
      </c>
      <c r="C1424" t="n">
        <v>0</v>
      </c>
      <c r="D1424" t="n">
        <v>1622.670986889335</v>
      </c>
      <c r="E1424">
        <f>C1424&lt;0.05</f>
        <v/>
      </c>
      <c r="F1424">
        <f>A1424=$B$5</f>
        <v/>
      </c>
      <c r="G1424">
        <f>IF(E1424,A1424,10^9)</f>
        <v/>
      </c>
      <c r="H1424">
        <f>IF(E1424,D1424,10^9)</f>
        <v/>
      </c>
    </row>
    <row r="1425">
      <c r="A1425" t="n">
        <v>1417</v>
      </c>
      <c r="B1425" t="n">
        <v>0</v>
      </c>
      <c r="C1425" t="n">
        <v>0</v>
      </c>
      <c r="D1425" t="n">
        <v>1623.670986889335</v>
      </c>
      <c r="E1425">
        <f>C1425&lt;0.05</f>
        <v/>
      </c>
      <c r="F1425">
        <f>A1425=$B$5</f>
        <v/>
      </c>
      <c r="G1425">
        <f>IF(E1425,A1425,10^9)</f>
        <v/>
      </c>
      <c r="H1425">
        <f>IF(E1425,D1425,10^9)</f>
        <v/>
      </c>
    </row>
    <row r="1426">
      <c r="A1426" t="n">
        <v>1418</v>
      </c>
      <c r="B1426" t="n">
        <v>0</v>
      </c>
      <c r="C1426" t="n">
        <v>0</v>
      </c>
      <c r="D1426" t="n">
        <v>1624.670986889335</v>
      </c>
      <c r="E1426">
        <f>C1426&lt;0.05</f>
        <v/>
      </c>
      <c r="F1426">
        <f>A1426=$B$5</f>
        <v/>
      </c>
      <c r="G1426">
        <f>IF(E1426,A1426,10^9)</f>
        <v/>
      </c>
      <c r="H1426">
        <f>IF(E1426,D1426,10^9)</f>
        <v/>
      </c>
    </row>
    <row r="1427">
      <c r="A1427" t="n">
        <v>1419</v>
      </c>
      <c r="B1427" t="n">
        <v>0</v>
      </c>
      <c r="C1427" t="n">
        <v>0</v>
      </c>
      <c r="D1427" t="n">
        <v>1625.670986889335</v>
      </c>
      <c r="E1427">
        <f>C1427&lt;0.05</f>
        <v/>
      </c>
      <c r="F1427">
        <f>A1427=$B$5</f>
        <v/>
      </c>
      <c r="G1427">
        <f>IF(E1427,A1427,10^9)</f>
        <v/>
      </c>
      <c r="H1427">
        <f>IF(E1427,D1427,10^9)</f>
        <v/>
      </c>
    </row>
    <row r="1428">
      <c r="A1428" t="n">
        <v>1420</v>
      </c>
      <c r="B1428" t="n">
        <v>0</v>
      </c>
      <c r="C1428" t="n">
        <v>0</v>
      </c>
      <c r="D1428" t="n">
        <v>1626.670986889335</v>
      </c>
      <c r="E1428">
        <f>C1428&lt;0.05</f>
        <v/>
      </c>
      <c r="F1428">
        <f>A1428=$B$5</f>
        <v/>
      </c>
      <c r="G1428">
        <f>IF(E1428,A1428,10^9)</f>
        <v/>
      </c>
      <c r="H1428">
        <f>IF(E1428,D1428,10^9)</f>
        <v/>
      </c>
    </row>
    <row r="1429">
      <c r="A1429" t="n">
        <v>1421</v>
      </c>
      <c r="B1429" t="n">
        <v>0</v>
      </c>
      <c r="C1429" t="n">
        <v>0</v>
      </c>
      <c r="D1429" t="n">
        <v>1627.670986889335</v>
      </c>
      <c r="E1429">
        <f>C1429&lt;0.05</f>
        <v/>
      </c>
      <c r="F1429">
        <f>A1429=$B$5</f>
        <v/>
      </c>
      <c r="G1429">
        <f>IF(E1429,A1429,10^9)</f>
        <v/>
      </c>
      <c r="H1429">
        <f>IF(E1429,D1429,10^9)</f>
        <v/>
      </c>
    </row>
    <row r="1430">
      <c r="A1430" t="n">
        <v>1422</v>
      </c>
      <c r="B1430" t="n">
        <v>0</v>
      </c>
      <c r="C1430" t="n">
        <v>0</v>
      </c>
      <c r="D1430" t="n">
        <v>1628.670986889335</v>
      </c>
      <c r="E1430">
        <f>C1430&lt;0.05</f>
        <v/>
      </c>
      <c r="F1430">
        <f>A1430=$B$5</f>
        <v/>
      </c>
      <c r="G1430">
        <f>IF(E1430,A1430,10^9)</f>
        <v/>
      </c>
      <c r="H1430">
        <f>IF(E1430,D1430,10^9)</f>
        <v/>
      </c>
    </row>
    <row r="1431">
      <c r="A1431" t="n">
        <v>1423</v>
      </c>
      <c r="B1431" t="n">
        <v>0</v>
      </c>
      <c r="C1431" t="n">
        <v>0</v>
      </c>
      <c r="D1431" t="n">
        <v>1629.670986889335</v>
      </c>
      <c r="E1431">
        <f>C1431&lt;0.05</f>
        <v/>
      </c>
      <c r="F1431">
        <f>A1431=$B$5</f>
        <v/>
      </c>
      <c r="G1431">
        <f>IF(E1431,A1431,10^9)</f>
        <v/>
      </c>
      <c r="H1431">
        <f>IF(E1431,D1431,10^9)</f>
        <v/>
      </c>
    </row>
    <row r="1432">
      <c r="A1432" t="n">
        <v>1424</v>
      </c>
      <c r="B1432" t="n">
        <v>0</v>
      </c>
      <c r="C1432" t="n">
        <v>0</v>
      </c>
      <c r="D1432" t="n">
        <v>1630.670986889335</v>
      </c>
      <c r="E1432">
        <f>C1432&lt;0.05</f>
        <v/>
      </c>
      <c r="F1432">
        <f>A1432=$B$5</f>
        <v/>
      </c>
      <c r="G1432">
        <f>IF(E1432,A1432,10^9)</f>
        <v/>
      </c>
      <c r="H1432">
        <f>IF(E1432,D1432,10^9)</f>
        <v/>
      </c>
    </row>
    <row r="1433">
      <c r="A1433" t="n">
        <v>1425</v>
      </c>
      <c r="B1433" t="n">
        <v>0</v>
      </c>
      <c r="C1433" t="n">
        <v>0</v>
      </c>
      <c r="D1433" t="n">
        <v>1631.670986889335</v>
      </c>
      <c r="E1433">
        <f>C1433&lt;0.05</f>
        <v/>
      </c>
      <c r="F1433">
        <f>A1433=$B$5</f>
        <v/>
      </c>
      <c r="G1433">
        <f>IF(E1433,A1433,10^9)</f>
        <v/>
      </c>
      <c r="H1433">
        <f>IF(E1433,D1433,10^9)</f>
        <v/>
      </c>
    </row>
    <row r="1434">
      <c r="A1434" t="n">
        <v>1426</v>
      </c>
      <c r="B1434" t="n">
        <v>0</v>
      </c>
      <c r="C1434" t="n">
        <v>0</v>
      </c>
      <c r="D1434" t="n">
        <v>1632.670986889335</v>
      </c>
      <c r="E1434">
        <f>C1434&lt;0.05</f>
        <v/>
      </c>
      <c r="F1434">
        <f>A1434=$B$5</f>
        <v/>
      </c>
      <c r="G1434">
        <f>IF(E1434,A1434,10^9)</f>
        <v/>
      </c>
      <c r="H1434">
        <f>IF(E1434,D1434,10^9)</f>
        <v/>
      </c>
    </row>
    <row r="1435">
      <c r="A1435" t="n">
        <v>1427</v>
      </c>
      <c r="B1435" t="n">
        <v>0</v>
      </c>
      <c r="C1435" t="n">
        <v>0</v>
      </c>
      <c r="D1435" t="n">
        <v>1633.670986889335</v>
      </c>
      <c r="E1435">
        <f>C1435&lt;0.05</f>
        <v/>
      </c>
      <c r="F1435">
        <f>A1435=$B$5</f>
        <v/>
      </c>
      <c r="G1435">
        <f>IF(E1435,A1435,10^9)</f>
        <v/>
      </c>
      <c r="H1435">
        <f>IF(E1435,D1435,10^9)</f>
        <v/>
      </c>
    </row>
    <row r="1436">
      <c r="A1436" t="n">
        <v>1428</v>
      </c>
      <c r="B1436" t="n">
        <v>0</v>
      </c>
      <c r="C1436" t="n">
        <v>0</v>
      </c>
      <c r="D1436" t="n">
        <v>1634.670986889335</v>
      </c>
      <c r="E1436">
        <f>C1436&lt;0.05</f>
        <v/>
      </c>
      <c r="F1436">
        <f>A1436=$B$5</f>
        <v/>
      </c>
      <c r="G1436">
        <f>IF(E1436,A1436,10^9)</f>
        <v/>
      </c>
      <c r="H1436">
        <f>IF(E1436,D1436,10^9)</f>
        <v/>
      </c>
    </row>
    <row r="1437">
      <c r="A1437" t="n">
        <v>1429</v>
      </c>
      <c r="B1437" t="n">
        <v>0</v>
      </c>
      <c r="C1437" t="n">
        <v>0</v>
      </c>
      <c r="D1437" t="n">
        <v>1635.670986889335</v>
      </c>
      <c r="E1437">
        <f>C1437&lt;0.05</f>
        <v/>
      </c>
      <c r="F1437">
        <f>A1437=$B$5</f>
        <v/>
      </c>
      <c r="G1437">
        <f>IF(E1437,A1437,10^9)</f>
        <v/>
      </c>
      <c r="H1437">
        <f>IF(E1437,D1437,10^9)</f>
        <v/>
      </c>
    </row>
    <row r="1438">
      <c r="A1438" t="n">
        <v>1430</v>
      </c>
      <c r="B1438" t="n">
        <v>0</v>
      </c>
      <c r="C1438" t="n">
        <v>0</v>
      </c>
      <c r="D1438" t="n">
        <v>1636.670986889335</v>
      </c>
      <c r="E1438">
        <f>C1438&lt;0.05</f>
        <v/>
      </c>
      <c r="F1438">
        <f>A1438=$B$5</f>
        <v/>
      </c>
      <c r="G1438">
        <f>IF(E1438,A1438,10^9)</f>
        <v/>
      </c>
      <c r="H1438">
        <f>IF(E1438,D1438,10^9)</f>
        <v/>
      </c>
    </row>
    <row r="1439">
      <c r="A1439" t="n">
        <v>1431</v>
      </c>
      <c r="B1439" t="n">
        <v>0</v>
      </c>
      <c r="C1439" t="n">
        <v>0</v>
      </c>
      <c r="D1439" t="n">
        <v>1637.670986889335</v>
      </c>
      <c r="E1439">
        <f>C1439&lt;0.05</f>
        <v/>
      </c>
      <c r="F1439">
        <f>A1439=$B$5</f>
        <v/>
      </c>
      <c r="G1439">
        <f>IF(E1439,A1439,10^9)</f>
        <v/>
      </c>
      <c r="H1439">
        <f>IF(E1439,D1439,10^9)</f>
        <v/>
      </c>
    </row>
    <row r="1440">
      <c r="A1440" t="n">
        <v>1432</v>
      </c>
      <c r="B1440" t="n">
        <v>0</v>
      </c>
      <c r="C1440" t="n">
        <v>0</v>
      </c>
      <c r="D1440" t="n">
        <v>1638.670986889335</v>
      </c>
      <c r="E1440">
        <f>C1440&lt;0.05</f>
        <v/>
      </c>
      <c r="F1440">
        <f>A1440=$B$5</f>
        <v/>
      </c>
      <c r="G1440">
        <f>IF(E1440,A1440,10^9)</f>
        <v/>
      </c>
      <c r="H1440">
        <f>IF(E1440,D1440,10^9)</f>
        <v/>
      </c>
    </row>
    <row r="1441">
      <c r="A1441" t="n">
        <v>1433</v>
      </c>
      <c r="B1441" t="n">
        <v>0</v>
      </c>
      <c r="C1441" t="n">
        <v>0</v>
      </c>
      <c r="D1441" t="n">
        <v>1639.670986889335</v>
      </c>
      <c r="E1441">
        <f>C1441&lt;0.05</f>
        <v/>
      </c>
      <c r="F1441">
        <f>A1441=$B$5</f>
        <v/>
      </c>
      <c r="G1441">
        <f>IF(E1441,A1441,10^9)</f>
        <v/>
      </c>
      <c r="H1441">
        <f>IF(E1441,D1441,10^9)</f>
        <v/>
      </c>
    </row>
    <row r="1442">
      <c r="A1442" t="n">
        <v>1434</v>
      </c>
      <c r="B1442" t="n">
        <v>0</v>
      </c>
      <c r="C1442" t="n">
        <v>0</v>
      </c>
      <c r="D1442" t="n">
        <v>1640.670986889335</v>
      </c>
      <c r="E1442">
        <f>C1442&lt;0.05</f>
        <v/>
      </c>
      <c r="F1442">
        <f>A1442=$B$5</f>
        <v/>
      </c>
      <c r="G1442">
        <f>IF(E1442,A1442,10^9)</f>
        <v/>
      </c>
      <c r="H1442">
        <f>IF(E1442,D1442,10^9)</f>
        <v/>
      </c>
    </row>
    <row r="1443">
      <c r="A1443" t="n">
        <v>1435</v>
      </c>
      <c r="B1443" t="n">
        <v>0</v>
      </c>
      <c r="C1443" t="n">
        <v>0</v>
      </c>
      <c r="D1443" t="n">
        <v>1641.670986889335</v>
      </c>
      <c r="E1443">
        <f>C1443&lt;0.05</f>
        <v/>
      </c>
      <c r="F1443">
        <f>A1443=$B$5</f>
        <v/>
      </c>
      <c r="G1443">
        <f>IF(E1443,A1443,10^9)</f>
        <v/>
      </c>
      <c r="H1443">
        <f>IF(E1443,D1443,10^9)</f>
        <v/>
      </c>
    </row>
    <row r="1444">
      <c r="A1444" t="n">
        <v>1436</v>
      </c>
      <c r="B1444" t="n">
        <v>0</v>
      </c>
      <c r="C1444" t="n">
        <v>0</v>
      </c>
      <c r="D1444" t="n">
        <v>1642.670986889335</v>
      </c>
      <c r="E1444">
        <f>C1444&lt;0.05</f>
        <v/>
      </c>
      <c r="F1444">
        <f>A1444=$B$5</f>
        <v/>
      </c>
      <c r="G1444">
        <f>IF(E1444,A1444,10^9)</f>
        <v/>
      </c>
      <c r="H1444">
        <f>IF(E1444,D1444,10^9)</f>
        <v/>
      </c>
    </row>
    <row r="1445">
      <c r="A1445" t="n">
        <v>1437</v>
      </c>
      <c r="B1445" t="n">
        <v>0</v>
      </c>
      <c r="C1445" t="n">
        <v>0</v>
      </c>
      <c r="D1445" t="n">
        <v>1643.670986889335</v>
      </c>
      <c r="E1445">
        <f>C1445&lt;0.05</f>
        <v/>
      </c>
      <c r="F1445">
        <f>A1445=$B$5</f>
        <v/>
      </c>
      <c r="G1445">
        <f>IF(E1445,A1445,10^9)</f>
        <v/>
      </c>
      <c r="H1445">
        <f>IF(E1445,D1445,10^9)</f>
        <v/>
      </c>
    </row>
    <row r="1446">
      <c r="A1446" t="n">
        <v>1438</v>
      </c>
      <c r="B1446" t="n">
        <v>0</v>
      </c>
      <c r="C1446" t="n">
        <v>0</v>
      </c>
      <c r="D1446" t="n">
        <v>1644.670986889335</v>
      </c>
      <c r="E1446">
        <f>C1446&lt;0.05</f>
        <v/>
      </c>
      <c r="F1446">
        <f>A1446=$B$5</f>
        <v/>
      </c>
      <c r="G1446">
        <f>IF(E1446,A1446,10^9)</f>
        <v/>
      </c>
      <c r="H1446">
        <f>IF(E1446,D1446,10^9)</f>
        <v/>
      </c>
    </row>
    <row r="1447">
      <c r="A1447" t="n">
        <v>1439</v>
      </c>
      <c r="B1447" t="n">
        <v>0</v>
      </c>
      <c r="C1447" t="n">
        <v>0</v>
      </c>
      <c r="D1447" t="n">
        <v>1645.670986889335</v>
      </c>
      <c r="E1447">
        <f>C1447&lt;0.05</f>
        <v/>
      </c>
      <c r="F1447">
        <f>A1447=$B$5</f>
        <v/>
      </c>
      <c r="G1447">
        <f>IF(E1447,A1447,10^9)</f>
        <v/>
      </c>
      <c r="H1447">
        <f>IF(E1447,D1447,10^9)</f>
        <v/>
      </c>
    </row>
    <row r="1448">
      <c r="A1448" t="n">
        <v>1440</v>
      </c>
      <c r="B1448" t="n">
        <v>0</v>
      </c>
      <c r="C1448" t="n">
        <v>0</v>
      </c>
      <c r="D1448" t="n">
        <v>1646.670986889335</v>
      </c>
      <c r="E1448">
        <f>C1448&lt;0.05</f>
        <v/>
      </c>
      <c r="F1448">
        <f>A1448=$B$5</f>
        <v/>
      </c>
      <c r="G1448">
        <f>IF(E1448,A1448,10^9)</f>
        <v/>
      </c>
      <c r="H1448">
        <f>IF(E1448,D1448,10^9)</f>
        <v/>
      </c>
    </row>
    <row r="1449">
      <c r="A1449" t="n">
        <v>1441</v>
      </c>
      <c r="B1449" t="n">
        <v>0</v>
      </c>
      <c r="C1449" t="n">
        <v>0</v>
      </c>
      <c r="D1449" t="n">
        <v>1647.670986889335</v>
      </c>
      <c r="E1449">
        <f>C1449&lt;0.05</f>
        <v/>
      </c>
      <c r="F1449">
        <f>A1449=$B$5</f>
        <v/>
      </c>
      <c r="G1449">
        <f>IF(E1449,A1449,10^9)</f>
        <v/>
      </c>
      <c r="H1449">
        <f>IF(E1449,D1449,10^9)</f>
        <v/>
      </c>
    </row>
    <row r="1450">
      <c r="A1450" t="n">
        <v>1442</v>
      </c>
      <c r="B1450" t="n">
        <v>0</v>
      </c>
      <c r="C1450" t="n">
        <v>0</v>
      </c>
      <c r="D1450" t="n">
        <v>1648.670986889335</v>
      </c>
      <c r="E1450">
        <f>C1450&lt;0.05</f>
        <v/>
      </c>
      <c r="F1450">
        <f>A1450=$B$5</f>
        <v/>
      </c>
      <c r="G1450">
        <f>IF(E1450,A1450,10^9)</f>
        <v/>
      </c>
      <c r="H1450">
        <f>IF(E1450,D1450,10^9)</f>
        <v/>
      </c>
    </row>
    <row r="1451">
      <c r="A1451" t="n">
        <v>1443</v>
      </c>
      <c r="B1451" t="n">
        <v>0</v>
      </c>
      <c r="C1451" t="n">
        <v>0</v>
      </c>
      <c r="D1451" t="n">
        <v>1649.670986889335</v>
      </c>
      <c r="E1451">
        <f>C1451&lt;0.05</f>
        <v/>
      </c>
      <c r="F1451">
        <f>A1451=$B$5</f>
        <v/>
      </c>
      <c r="G1451">
        <f>IF(E1451,A1451,10^9)</f>
        <v/>
      </c>
      <c r="H1451">
        <f>IF(E1451,D1451,10^9)</f>
        <v/>
      </c>
    </row>
    <row r="1452">
      <c r="A1452" t="n">
        <v>1444</v>
      </c>
      <c r="B1452" t="n">
        <v>0</v>
      </c>
      <c r="C1452" t="n">
        <v>0</v>
      </c>
      <c r="D1452" t="n">
        <v>1650.670986889335</v>
      </c>
      <c r="E1452">
        <f>C1452&lt;0.05</f>
        <v/>
      </c>
      <c r="F1452">
        <f>A1452=$B$5</f>
        <v/>
      </c>
      <c r="G1452">
        <f>IF(E1452,A1452,10^9)</f>
        <v/>
      </c>
      <c r="H1452">
        <f>IF(E1452,D1452,10^9)</f>
        <v/>
      </c>
    </row>
    <row r="1453">
      <c r="A1453" t="n">
        <v>1445</v>
      </c>
      <c r="B1453" t="n">
        <v>0</v>
      </c>
      <c r="C1453" t="n">
        <v>0</v>
      </c>
      <c r="D1453" t="n">
        <v>1651.670986889335</v>
      </c>
      <c r="E1453">
        <f>C1453&lt;0.05</f>
        <v/>
      </c>
      <c r="F1453">
        <f>A1453=$B$5</f>
        <v/>
      </c>
      <c r="G1453">
        <f>IF(E1453,A1453,10^9)</f>
        <v/>
      </c>
      <c r="H1453">
        <f>IF(E1453,D1453,10^9)</f>
        <v/>
      </c>
    </row>
    <row r="1454">
      <c r="A1454" t="n">
        <v>1446</v>
      </c>
      <c r="B1454" t="n">
        <v>0</v>
      </c>
      <c r="C1454" t="n">
        <v>0</v>
      </c>
      <c r="D1454" t="n">
        <v>1652.670986889335</v>
      </c>
      <c r="E1454">
        <f>C1454&lt;0.05</f>
        <v/>
      </c>
      <c r="F1454">
        <f>A1454=$B$5</f>
        <v/>
      </c>
      <c r="G1454">
        <f>IF(E1454,A1454,10^9)</f>
        <v/>
      </c>
      <c r="H1454">
        <f>IF(E1454,D1454,10^9)</f>
        <v/>
      </c>
    </row>
    <row r="1455">
      <c r="A1455" t="n">
        <v>1447</v>
      </c>
      <c r="B1455" t="n">
        <v>0</v>
      </c>
      <c r="C1455" t="n">
        <v>0</v>
      </c>
      <c r="D1455" t="n">
        <v>1653.670986889335</v>
      </c>
      <c r="E1455">
        <f>C1455&lt;0.05</f>
        <v/>
      </c>
      <c r="F1455">
        <f>A1455=$B$5</f>
        <v/>
      </c>
      <c r="G1455">
        <f>IF(E1455,A1455,10^9)</f>
        <v/>
      </c>
      <c r="H1455">
        <f>IF(E1455,D1455,10^9)</f>
        <v/>
      </c>
    </row>
    <row r="1456">
      <c r="A1456" t="n">
        <v>1448</v>
      </c>
      <c r="B1456" t="n">
        <v>0</v>
      </c>
      <c r="C1456" t="n">
        <v>0</v>
      </c>
      <c r="D1456" t="n">
        <v>1654.670986889335</v>
      </c>
      <c r="E1456">
        <f>C1456&lt;0.05</f>
        <v/>
      </c>
      <c r="F1456">
        <f>A1456=$B$5</f>
        <v/>
      </c>
      <c r="G1456">
        <f>IF(E1456,A1456,10^9)</f>
        <v/>
      </c>
      <c r="H1456">
        <f>IF(E1456,D1456,10^9)</f>
        <v/>
      </c>
    </row>
    <row r="1457">
      <c r="A1457" t="n">
        <v>1449</v>
      </c>
      <c r="B1457" t="n">
        <v>0</v>
      </c>
      <c r="C1457" t="n">
        <v>0</v>
      </c>
      <c r="D1457" t="n">
        <v>1655.670986889335</v>
      </c>
      <c r="E1457">
        <f>C1457&lt;0.05</f>
        <v/>
      </c>
      <c r="F1457">
        <f>A1457=$B$5</f>
        <v/>
      </c>
      <c r="G1457">
        <f>IF(E1457,A1457,10^9)</f>
        <v/>
      </c>
      <c r="H1457">
        <f>IF(E1457,D1457,10^9)</f>
        <v/>
      </c>
    </row>
    <row r="1458">
      <c r="A1458" t="n">
        <v>1450</v>
      </c>
      <c r="B1458" t="n">
        <v>0</v>
      </c>
      <c r="C1458" t="n">
        <v>0</v>
      </c>
      <c r="D1458" t="n">
        <v>1656.670986889335</v>
      </c>
      <c r="E1458">
        <f>C1458&lt;0.05</f>
        <v/>
      </c>
      <c r="F1458">
        <f>A1458=$B$5</f>
        <v/>
      </c>
      <c r="G1458">
        <f>IF(E1458,A1458,10^9)</f>
        <v/>
      </c>
      <c r="H1458">
        <f>IF(E1458,D1458,10^9)</f>
        <v/>
      </c>
    </row>
    <row r="1459">
      <c r="A1459" t="n">
        <v>1451</v>
      </c>
      <c r="B1459" t="n">
        <v>0</v>
      </c>
      <c r="C1459" t="n">
        <v>0</v>
      </c>
      <c r="D1459" t="n">
        <v>1657.670986889335</v>
      </c>
      <c r="E1459">
        <f>C1459&lt;0.05</f>
        <v/>
      </c>
      <c r="F1459">
        <f>A1459=$B$5</f>
        <v/>
      </c>
      <c r="G1459">
        <f>IF(E1459,A1459,10^9)</f>
        <v/>
      </c>
      <c r="H1459">
        <f>IF(E1459,D1459,10^9)</f>
        <v/>
      </c>
    </row>
    <row r="1460">
      <c r="A1460" t="n">
        <v>1452</v>
      </c>
      <c r="B1460" t="n">
        <v>0</v>
      </c>
      <c r="C1460" t="n">
        <v>0</v>
      </c>
      <c r="D1460" t="n">
        <v>1658.670986889335</v>
      </c>
      <c r="E1460">
        <f>C1460&lt;0.05</f>
        <v/>
      </c>
      <c r="F1460">
        <f>A1460=$B$5</f>
        <v/>
      </c>
      <c r="G1460">
        <f>IF(E1460,A1460,10^9)</f>
        <v/>
      </c>
      <c r="H1460">
        <f>IF(E1460,D1460,10^9)</f>
        <v/>
      </c>
    </row>
    <row r="1461">
      <c r="A1461" t="n">
        <v>1453</v>
      </c>
      <c r="B1461" t="n">
        <v>0</v>
      </c>
      <c r="C1461" t="n">
        <v>0</v>
      </c>
      <c r="D1461" t="n">
        <v>1659.670986889335</v>
      </c>
      <c r="E1461">
        <f>C1461&lt;0.05</f>
        <v/>
      </c>
      <c r="F1461">
        <f>A1461=$B$5</f>
        <v/>
      </c>
      <c r="G1461">
        <f>IF(E1461,A1461,10^9)</f>
        <v/>
      </c>
      <c r="H1461">
        <f>IF(E1461,D1461,10^9)</f>
        <v/>
      </c>
    </row>
    <row r="1462">
      <c r="A1462" t="n">
        <v>1454</v>
      </c>
      <c r="B1462" t="n">
        <v>0</v>
      </c>
      <c r="C1462" t="n">
        <v>0</v>
      </c>
      <c r="D1462" t="n">
        <v>1660.670986889335</v>
      </c>
      <c r="E1462">
        <f>C1462&lt;0.05</f>
        <v/>
      </c>
      <c r="F1462">
        <f>A1462=$B$5</f>
        <v/>
      </c>
      <c r="G1462">
        <f>IF(E1462,A1462,10^9)</f>
        <v/>
      </c>
      <c r="H1462">
        <f>IF(E1462,D1462,10^9)</f>
        <v/>
      </c>
    </row>
    <row r="1463">
      <c r="A1463" t="n">
        <v>1455</v>
      </c>
      <c r="B1463" t="n">
        <v>0</v>
      </c>
      <c r="C1463" t="n">
        <v>0</v>
      </c>
      <c r="D1463" t="n">
        <v>1661.670986889335</v>
      </c>
      <c r="E1463">
        <f>C1463&lt;0.05</f>
        <v/>
      </c>
      <c r="F1463">
        <f>A1463=$B$5</f>
        <v/>
      </c>
      <c r="G1463">
        <f>IF(E1463,A1463,10^9)</f>
        <v/>
      </c>
      <c r="H1463">
        <f>IF(E1463,D1463,10^9)</f>
        <v/>
      </c>
    </row>
    <row r="1464">
      <c r="A1464" t="n">
        <v>1456</v>
      </c>
      <c r="B1464" t="n">
        <v>0</v>
      </c>
      <c r="C1464" t="n">
        <v>0</v>
      </c>
      <c r="D1464" t="n">
        <v>1662.670986889335</v>
      </c>
      <c r="E1464">
        <f>C1464&lt;0.05</f>
        <v/>
      </c>
      <c r="F1464">
        <f>A1464=$B$5</f>
        <v/>
      </c>
      <c r="G1464">
        <f>IF(E1464,A1464,10^9)</f>
        <v/>
      </c>
      <c r="H1464">
        <f>IF(E1464,D1464,10^9)</f>
        <v/>
      </c>
    </row>
    <row r="1465">
      <c r="A1465" t="n">
        <v>1457</v>
      </c>
      <c r="B1465" t="n">
        <v>0</v>
      </c>
      <c r="C1465" t="n">
        <v>0</v>
      </c>
      <c r="D1465" t="n">
        <v>1663.670986889335</v>
      </c>
      <c r="E1465">
        <f>C1465&lt;0.05</f>
        <v/>
      </c>
      <c r="F1465">
        <f>A1465=$B$5</f>
        <v/>
      </c>
      <c r="G1465">
        <f>IF(E1465,A1465,10^9)</f>
        <v/>
      </c>
      <c r="H1465">
        <f>IF(E1465,D1465,10^9)</f>
        <v/>
      </c>
    </row>
    <row r="1466">
      <c r="A1466" t="n">
        <v>1458</v>
      </c>
      <c r="B1466" t="n">
        <v>0</v>
      </c>
      <c r="C1466" t="n">
        <v>0</v>
      </c>
      <c r="D1466" t="n">
        <v>1664.670986889335</v>
      </c>
      <c r="E1466">
        <f>C1466&lt;0.05</f>
        <v/>
      </c>
      <c r="F1466">
        <f>A1466=$B$5</f>
        <v/>
      </c>
      <c r="G1466">
        <f>IF(E1466,A1466,10^9)</f>
        <v/>
      </c>
      <c r="H1466">
        <f>IF(E1466,D1466,10^9)</f>
        <v/>
      </c>
    </row>
    <row r="1467">
      <c r="A1467" t="n">
        <v>1459</v>
      </c>
      <c r="B1467" t="n">
        <v>0</v>
      </c>
      <c r="C1467" t="n">
        <v>0</v>
      </c>
      <c r="D1467" t="n">
        <v>1665.670986889335</v>
      </c>
      <c r="E1467">
        <f>C1467&lt;0.05</f>
        <v/>
      </c>
      <c r="F1467">
        <f>A1467=$B$5</f>
        <v/>
      </c>
      <c r="G1467">
        <f>IF(E1467,A1467,10^9)</f>
        <v/>
      </c>
      <c r="H1467">
        <f>IF(E1467,D1467,10^9)</f>
        <v/>
      </c>
    </row>
    <row r="1468">
      <c r="A1468" t="n">
        <v>1460</v>
      </c>
      <c r="B1468" t="n">
        <v>0</v>
      </c>
      <c r="C1468" t="n">
        <v>0</v>
      </c>
      <c r="D1468" t="n">
        <v>1666.670986889335</v>
      </c>
      <c r="E1468">
        <f>C1468&lt;0.05</f>
        <v/>
      </c>
      <c r="F1468">
        <f>A1468=$B$5</f>
        <v/>
      </c>
      <c r="G1468">
        <f>IF(E1468,A1468,10^9)</f>
        <v/>
      </c>
      <c r="H1468">
        <f>IF(E1468,D1468,10^9)</f>
        <v/>
      </c>
    </row>
    <row r="1469">
      <c r="A1469" t="n">
        <v>1461</v>
      </c>
      <c r="B1469" t="n">
        <v>0</v>
      </c>
      <c r="C1469" t="n">
        <v>0</v>
      </c>
      <c r="D1469" t="n">
        <v>1667.670986889335</v>
      </c>
      <c r="E1469">
        <f>C1469&lt;0.05</f>
        <v/>
      </c>
      <c r="F1469">
        <f>A1469=$B$5</f>
        <v/>
      </c>
      <c r="G1469">
        <f>IF(E1469,A1469,10^9)</f>
        <v/>
      </c>
      <c r="H1469">
        <f>IF(E1469,D1469,10^9)</f>
        <v/>
      </c>
    </row>
    <row r="1470">
      <c r="A1470" t="n">
        <v>1462</v>
      </c>
      <c r="B1470" t="n">
        <v>0</v>
      </c>
      <c r="C1470" t="n">
        <v>0</v>
      </c>
      <c r="D1470" t="n">
        <v>1668.670986889335</v>
      </c>
      <c r="E1470">
        <f>C1470&lt;0.05</f>
        <v/>
      </c>
      <c r="F1470">
        <f>A1470=$B$5</f>
        <v/>
      </c>
      <c r="G1470">
        <f>IF(E1470,A1470,10^9)</f>
        <v/>
      </c>
      <c r="H1470">
        <f>IF(E1470,D1470,10^9)</f>
        <v/>
      </c>
    </row>
    <row r="1471">
      <c r="A1471" t="n">
        <v>1463</v>
      </c>
      <c r="B1471" t="n">
        <v>0</v>
      </c>
      <c r="C1471" t="n">
        <v>0</v>
      </c>
      <c r="D1471" t="n">
        <v>1669.670986889335</v>
      </c>
      <c r="E1471">
        <f>C1471&lt;0.05</f>
        <v/>
      </c>
      <c r="F1471">
        <f>A1471=$B$5</f>
        <v/>
      </c>
      <c r="G1471">
        <f>IF(E1471,A1471,10^9)</f>
        <v/>
      </c>
      <c r="H1471">
        <f>IF(E1471,D1471,10^9)</f>
        <v/>
      </c>
    </row>
    <row r="1472">
      <c r="A1472" t="n">
        <v>1464</v>
      </c>
      <c r="B1472" t="n">
        <v>0</v>
      </c>
      <c r="C1472" t="n">
        <v>0</v>
      </c>
      <c r="D1472" t="n">
        <v>1670.670986889335</v>
      </c>
      <c r="E1472">
        <f>C1472&lt;0.05</f>
        <v/>
      </c>
      <c r="F1472">
        <f>A1472=$B$5</f>
        <v/>
      </c>
      <c r="G1472">
        <f>IF(E1472,A1472,10^9)</f>
        <v/>
      </c>
      <c r="H1472">
        <f>IF(E1472,D1472,10^9)</f>
        <v/>
      </c>
    </row>
    <row r="1473">
      <c r="A1473" t="n">
        <v>1465</v>
      </c>
      <c r="B1473" t="n">
        <v>0</v>
      </c>
      <c r="C1473" t="n">
        <v>0</v>
      </c>
      <c r="D1473" t="n">
        <v>1671.670986889335</v>
      </c>
      <c r="E1473">
        <f>C1473&lt;0.05</f>
        <v/>
      </c>
      <c r="F1473">
        <f>A1473=$B$5</f>
        <v/>
      </c>
      <c r="G1473">
        <f>IF(E1473,A1473,10^9)</f>
        <v/>
      </c>
      <c r="H1473">
        <f>IF(E1473,D1473,10^9)</f>
        <v/>
      </c>
    </row>
    <row r="1474">
      <c r="A1474" t="n">
        <v>1466</v>
      </c>
      <c r="B1474" t="n">
        <v>0</v>
      </c>
      <c r="C1474" t="n">
        <v>0</v>
      </c>
      <c r="D1474" t="n">
        <v>1672.670986889335</v>
      </c>
      <c r="E1474">
        <f>C1474&lt;0.05</f>
        <v/>
      </c>
      <c r="F1474">
        <f>A1474=$B$5</f>
        <v/>
      </c>
      <c r="G1474">
        <f>IF(E1474,A1474,10^9)</f>
        <v/>
      </c>
      <c r="H1474">
        <f>IF(E1474,D1474,10^9)</f>
        <v/>
      </c>
    </row>
    <row r="1475">
      <c r="A1475" t="n">
        <v>1467</v>
      </c>
      <c r="B1475" t="n">
        <v>0</v>
      </c>
      <c r="C1475" t="n">
        <v>0</v>
      </c>
      <c r="D1475" t="n">
        <v>1673.670986889335</v>
      </c>
      <c r="E1475">
        <f>C1475&lt;0.05</f>
        <v/>
      </c>
      <c r="F1475">
        <f>A1475=$B$5</f>
        <v/>
      </c>
      <c r="G1475">
        <f>IF(E1475,A1475,10^9)</f>
        <v/>
      </c>
      <c r="H1475">
        <f>IF(E1475,D1475,10^9)</f>
        <v/>
      </c>
    </row>
    <row r="1476">
      <c r="A1476" t="n">
        <v>1468</v>
      </c>
      <c r="B1476" t="n">
        <v>0</v>
      </c>
      <c r="C1476" t="n">
        <v>0</v>
      </c>
      <c r="D1476" t="n">
        <v>1674.670986889335</v>
      </c>
      <c r="E1476">
        <f>C1476&lt;0.05</f>
        <v/>
      </c>
      <c r="F1476">
        <f>A1476=$B$5</f>
        <v/>
      </c>
      <c r="G1476">
        <f>IF(E1476,A1476,10^9)</f>
        <v/>
      </c>
      <c r="H1476">
        <f>IF(E1476,D1476,10^9)</f>
        <v/>
      </c>
    </row>
    <row r="1477">
      <c r="A1477" t="n">
        <v>1469</v>
      </c>
      <c r="B1477" t="n">
        <v>0</v>
      </c>
      <c r="C1477" t="n">
        <v>0</v>
      </c>
      <c r="D1477" t="n">
        <v>1675.670986889335</v>
      </c>
      <c r="E1477">
        <f>C1477&lt;0.05</f>
        <v/>
      </c>
      <c r="F1477">
        <f>A1477=$B$5</f>
        <v/>
      </c>
      <c r="G1477">
        <f>IF(E1477,A1477,10^9)</f>
        <v/>
      </c>
      <c r="H1477">
        <f>IF(E1477,D1477,10^9)</f>
        <v/>
      </c>
    </row>
    <row r="1478">
      <c r="A1478" t="n">
        <v>1470</v>
      </c>
      <c r="B1478" t="n">
        <v>0</v>
      </c>
      <c r="C1478" t="n">
        <v>0</v>
      </c>
      <c r="D1478" t="n">
        <v>1676.670986889335</v>
      </c>
      <c r="E1478">
        <f>C1478&lt;0.05</f>
        <v/>
      </c>
      <c r="F1478">
        <f>A1478=$B$5</f>
        <v/>
      </c>
      <c r="G1478">
        <f>IF(E1478,A1478,10^9)</f>
        <v/>
      </c>
      <c r="H1478">
        <f>IF(E1478,D1478,10^9)</f>
        <v/>
      </c>
    </row>
    <row r="1479">
      <c r="A1479" t="n">
        <v>1471</v>
      </c>
      <c r="B1479" t="n">
        <v>0</v>
      </c>
      <c r="C1479" t="n">
        <v>0</v>
      </c>
      <c r="D1479" t="n">
        <v>1677.670986889335</v>
      </c>
      <c r="E1479">
        <f>C1479&lt;0.05</f>
        <v/>
      </c>
      <c r="F1479">
        <f>A1479=$B$5</f>
        <v/>
      </c>
      <c r="G1479">
        <f>IF(E1479,A1479,10^9)</f>
        <v/>
      </c>
      <c r="H1479">
        <f>IF(E1479,D1479,10^9)</f>
        <v/>
      </c>
    </row>
    <row r="1480">
      <c r="A1480" t="n">
        <v>1472</v>
      </c>
      <c r="B1480" t="n">
        <v>0</v>
      </c>
      <c r="C1480" t="n">
        <v>0</v>
      </c>
      <c r="D1480" t="n">
        <v>1678.670986889335</v>
      </c>
      <c r="E1480">
        <f>C1480&lt;0.05</f>
        <v/>
      </c>
      <c r="F1480">
        <f>A1480=$B$5</f>
        <v/>
      </c>
      <c r="G1480">
        <f>IF(E1480,A1480,10^9)</f>
        <v/>
      </c>
      <c r="H1480">
        <f>IF(E1480,D1480,10^9)</f>
        <v/>
      </c>
    </row>
    <row r="1481">
      <c r="A1481" t="n">
        <v>1473</v>
      </c>
      <c r="B1481" t="n">
        <v>0</v>
      </c>
      <c r="C1481" t="n">
        <v>0</v>
      </c>
      <c r="D1481" t="n">
        <v>1679.670986889335</v>
      </c>
      <c r="E1481">
        <f>C1481&lt;0.05</f>
        <v/>
      </c>
      <c r="F1481">
        <f>A1481=$B$5</f>
        <v/>
      </c>
      <c r="G1481">
        <f>IF(E1481,A1481,10^9)</f>
        <v/>
      </c>
      <c r="H1481">
        <f>IF(E1481,D1481,10^9)</f>
        <v/>
      </c>
    </row>
    <row r="1482">
      <c r="A1482" t="n">
        <v>1474</v>
      </c>
      <c r="B1482" t="n">
        <v>0</v>
      </c>
      <c r="C1482" t="n">
        <v>0</v>
      </c>
      <c r="D1482" t="n">
        <v>1680.670986889335</v>
      </c>
      <c r="E1482">
        <f>C1482&lt;0.05</f>
        <v/>
      </c>
      <c r="F1482">
        <f>A1482=$B$5</f>
        <v/>
      </c>
      <c r="G1482">
        <f>IF(E1482,A1482,10^9)</f>
        <v/>
      </c>
      <c r="H1482">
        <f>IF(E1482,D1482,10^9)</f>
        <v/>
      </c>
    </row>
    <row r="1483">
      <c r="A1483" t="n">
        <v>1475</v>
      </c>
      <c r="B1483" t="n">
        <v>0</v>
      </c>
      <c r="C1483" t="n">
        <v>0</v>
      </c>
      <c r="D1483" t="n">
        <v>1681.670986889335</v>
      </c>
      <c r="E1483">
        <f>C1483&lt;0.05</f>
        <v/>
      </c>
      <c r="F1483">
        <f>A1483=$B$5</f>
        <v/>
      </c>
      <c r="G1483">
        <f>IF(E1483,A1483,10^9)</f>
        <v/>
      </c>
      <c r="H1483">
        <f>IF(E1483,D1483,10^9)</f>
        <v/>
      </c>
    </row>
    <row r="1484">
      <c r="A1484" t="n">
        <v>1476</v>
      </c>
      <c r="B1484" t="n">
        <v>0</v>
      </c>
      <c r="C1484" t="n">
        <v>0</v>
      </c>
      <c r="D1484" t="n">
        <v>1682.670986889335</v>
      </c>
      <c r="E1484">
        <f>C1484&lt;0.05</f>
        <v/>
      </c>
      <c r="F1484">
        <f>A1484=$B$5</f>
        <v/>
      </c>
      <c r="G1484">
        <f>IF(E1484,A1484,10^9)</f>
        <v/>
      </c>
      <c r="H1484">
        <f>IF(E1484,D1484,10^9)</f>
        <v/>
      </c>
    </row>
    <row r="1485">
      <c r="A1485" t="n">
        <v>1477</v>
      </c>
      <c r="B1485" t="n">
        <v>0</v>
      </c>
      <c r="C1485" t="n">
        <v>0</v>
      </c>
      <c r="D1485" t="n">
        <v>1683.670986889335</v>
      </c>
      <c r="E1485">
        <f>C1485&lt;0.05</f>
        <v/>
      </c>
      <c r="F1485">
        <f>A1485=$B$5</f>
        <v/>
      </c>
      <c r="G1485">
        <f>IF(E1485,A1485,10^9)</f>
        <v/>
      </c>
      <c r="H1485">
        <f>IF(E1485,D1485,10^9)</f>
        <v/>
      </c>
    </row>
    <row r="1486">
      <c r="A1486" t="n">
        <v>1478</v>
      </c>
      <c r="B1486" t="n">
        <v>0</v>
      </c>
      <c r="C1486" t="n">
        <v>0</v>
      </c>
      <c r="D1486" t="n">
        <v>1684.670986889335</v>
      </c>
      <c r="E1486">
        <f>C1486&lt;0.05</f>
        <v/>
      </c>
      <c r="F1486">
        <f>A1486=$B$5</f>
        <v/>
      </c>
      <c r="G1486">
        <f>IF(E1486,A1486,10^9)</f>
        <v/>
      </c>
      <c r="H1486">
        <f>IF(E1486,D1486,10^9)</f>
        <v/>
      </c>
    </row>
    <row r="1487">
      <c r="A1487" t="n">
        <v>1479</v>
      </c>
      <c r="B1487" t="n">
        <v>0</v>
      </c>
      <c r="C1487" t="n">
        <v>0</v>
      </c>
      <c r="D1487" t="n">
        <v>1685.670986889335</v>
      </c>
      <c r="E1487">
        <f>C1487&lt;0.05</f>
        <v/>
      </c>
      <c r="F1487">
        <f>A1487=$B$5</f>
        <v/>
      </c>
      <c r="G1487">
        <f>IF(E1487,A1487,10^9)</f>
        <v/>
      </c>
      <c r="H1487">
        <f>IF(E1487,D1487,10^9)</f>
        <v/>
      </c>
    </row>
    <row r="1488">
      <c r="A1488" t="n">
        <v>1480</v>
      </c>
      <c r="B1488" t="n">
        <v>0</v>
      </c>
      <c r="C1488" t="n">
        <v>0</v>
      </c>
      <c r="D1488" t="n">
        <v>1686.670986889335</v>
      </c>
      <c r="E1488">
        <f>C1488&lt;0.05</f>
        <v/>
      </c>
      <c r="F1488">
        <f>A1488=$B$5</f>
        <v/>
      </c>
      <c r="G1488">
        <f>IF(E1488,A1488,10^9)</f>
        <v/>
      </c>
      <c r="H1488">
        <f>IF(E1488,D1488,10^9)</f>
        <v/>
      </c>
    </row>
    <row r="1489">
      <c r="A1489" t="n">
        <v>1481</v>
      </c>
      <c r="B1489" t="n">
        <v>0</v>
      </c>
      <c r="C1489" t="n">
        <v>0</v>
      </c>
      <c r="D1489" t="n">
        <v>1687.670986889335</v>
      </c>
      <c r="E1489">
        <f>C1489&lt;0.05</f>
        <v/>
      </c>
      <c r="F1489">
        <f>A1489=$B$5</f>
        <v/>
      </c>
      <c r="G1489">
        <f>IF(E1489,A1489,10^9)</f>
        <v/>
      </c>
      <c r="H1489">
        <f>IF(E1489,D1489,10^9)</f>
        <v/>
      </c>
    </row>
    <row r="1490">
      <c r="A1490" t="n">
        <v>1482</v>
      </c>
      <c r="B1490" t="n">
        <v>0</v>
      </c>
      <c r="C1490" t="n">
        <v>0</v>
      </c>
      <c r="D1490" t="n">
        <v>1688.670986889335</v>
      </c>
      <c r="E1490">
        <f>C1490&lt;0.05</f>
        <v/>
      </c>
      <c r="F1490">
        <f>A1490=$B$5</f>
        <v/>
      </c>
      <c r="G1490">
        <f>IF(E1490,A1490,10^9)</f>
        <v/>
      </c>
      <c r="H1490">
        <f>IF(E1490,D1490,10^9)</f>
        <v/>
      </c>
    </row>
    <row r="1491">
      <c r="A1491" t="n">
        <v>1483</v>
      </c>
      <c r="B1491" t="n">
        <v>0</v>
      </c>
      <c r="C1491" t="n">
        <v>0</v>
      </c>
      <c r="D1491" t="n">
        <v>1689.670986889335</v>
      </c>
      <c r="E1491">
        <f>C1491&lt;0.05</f>
        <v/>
      </c>
      <c r="F1491">
        <f>A1491=$B$5</f>
        <v/>
      </c>
      <c r="G1491">
        <f>IF(E1491,A1491,10^9)</f>
        <v/>
      </c>
      <c r="H1491">
        <f>IF(E1491,D1491,10^9)</f>
        <v/>
      </c>
    </row>
    <row r="1492">
      <c r="A1492" t="n">
        <v>1484</v>
      </c>
      <c r="B1492" t="n">
        <v>0</v>
      </c>
      <c r="C1492" t="n">
        <v>0</v>
      </c>
      <c r="D1492" t="n">
        <v>1690.670986889335</v>
      </c>
      <c r="E1492">
        <f>C1492&lt;0.05</f>
        <v/>
      </c>
      <c r="F1492">
        <f>A1492=$B$5</f>
        <v/>
      </c>
      <c r="G1492">
        <f>IF(E1492,A1492,10^9)</f>
        <v/>
      </c>
      <c r="H1492">
        <f>IF(E1492,D1492,10^9)</f>
        <v/>
      </c>
    </row>
    <row r="1493">
      <c r="A1493" t="n">
        <v>1485</v>
      </c>
      <c r="B1493" t="n">
        <v>0</v>
      </c>
      <c r="C1493" t="n">
        <v>0</v>
      </c>
      <c r="D1493" t="n">
        <v>1691.670986889335</v>
      </c>
      <c r="E1493">
        <f>C1493&lt;0.05</f>
        <v/>
      </c>
      <c r="F1493">
        <f>A1493=$B$5</f>
        <v/>
      </c>
      <c r="G1493">
        <f>IF(E1493,A1493,10^9)</f>
        <v/>
      </c>
      <c r="H1493">
        <f>IF(E1493,D1493,10^9)</f>
        <v/>
      </c>
    </row>
    <row r="1494">
      <c r="A1494" t="n">
        <v>1486</v>
      </c>
      <c r="B1494" t="n">
        <v>0</v>
      </c>
      <c r="C1494" t="n">
        <v>0</v>
      </c>
      <c r="D1494" t="n">
        <v>1692.670986889335</v>
      </c>
      <c r="E1494">
        <f>C1494&lt;0.05</f>
        <v/>
      </c>
      <c r="F1494">
        <f>A1494=$B$5</f>
        <v/>
      </c>
      <c r="G1494">
        <f>IF(E1494,A1494,10^9)</f>
        <v/>
      </c>
      <c r="H1494">
        <f>IF(E1494,D1494,10^9)</f>
        <v/>
      </c>
    </row>
    <row r="1495">
      <c r="A1495" t="n">
        <v>1487</v>
      </c>
      <c r="B1495" t="n">
        <v>0</v>
      </c>
      <c r="C1495" t="n">
        <v>0</v>
      </c>
      <c r="D1495" t="n">
        <v>1693.670986889335</v>
      </c>
      <c r="E1495">
        <f>C1495&lt;0.05</f>
        <v/>
      </c>
      <c r="F1495">
        <f>A1495=$B$5</f>
        <v/>
      </c>
      <c r="G1495">
        <f>IF(E1495,A1495,10^9)</f>
        <v/>
      </c>
      <c r="H1495">
        <f>IF(E1495,D1495,10^9)</f>
        <v/>
      </c>
    </row>
    <row r="1496">
      <c r="A1496" t="n">
        <v>1488</v>
      </c>
      <c r="B1496" t="n">
        <v>0</v>
      </c>
      <c r="C1496" t="n">
        <v>0</v>
      </c>
      <c r="D1496" t="n">
        <v>1694.670986889335</v>
      </c>
      <c r="E1496">
        <f>C1496&lt;0.05</f>
        <v/>
      </c>
      <c r="F1496">
        <f>A1496=$B$5</f>
        <v/>
      </c>
      <c r="G1496">
        <f>IF(E1496,A1496,10^9)</f>
        <v/>
      </c>
      <c r="H1496">
        <f>IF(E1496,D1496,10^9)</f>
        <v/>
      </c>
    </row>
    <row r="1497">
      <c r="A1497" t="n">
        <v>1489</v>
      </c>
      <c r="B1497" t="n">
        <v>0</v>
      </c>
      <c r="C1497" t="n">
        <v>0</v>
      </c>
      <c r="D1497" t="n">
        <v>1695.670986889335</v>
      </c>
      <c r="E1497">
        <f>C1497&lt;0.05</f>
        <v/>
      </c>
      <c r="F1497">
        <f>A1497=$B$5</f>
        <v/>
      </c>
      <c r="G1497">
        <f>IF(E1497,A1497,10^9)</f>
        <v/>
      </c>
      <c r="H1497">
        <f>IF(E1497,D1497,10^9)</f>
        <v/>
      </c>
    </row>
    <row r="1498">
      <c r="A1498" t="n">
        <v>1490</v>
      </c>
      <c r="B1498" t="n">
        <v>0</v>
      </c>
      <c r="C1498" t="n">
        <v>0</v>
      </c>
      <c r="D1498" t="n">
        <v>1696.670986889335</v>
      </c>
      <c r="E1498">
        <f>C1498&lt;0.05</f>
        <v/>
      </c>
      <c r="F1498">
        <f>A1498=$B$5</f>
        <v/>
      </c>
      <c r="G1498">
        <f>IF(E1498,A1498,10^9)</f>
        <v/>
      </c>
      <c r="H1498">
        <f>IF(E1498,D1498,10^9)</f>
        <v/>
      </c>
    </row>
    <row r="1499">
      <c r="A1499" t="n">
        <v>1491</v>
      </c>
      <c r="B1499" t="n">
        <v>0</v>
      </c>
      <c r="C1499" t="n">
        <v>0</v>
      </c>
      <c r="D1499" t="n">
        <v>1697.670986889335</v>
      </c>
      <c r="E1499">
        <f>C1499&lt;0.05</f>
        <v/>
      </c>
      <c r="F1499">
        <f>A1499=$B$5</f>
        <v/>
      </c>
      <c r="G1499">
        <f>IF(E1499,A1499,10^9)</f>
        <v/>
      </c>
      <c r="H1499">
        <f>IF(E1499,D1499,10^9)</f>
        <v/>
      </c>
    </row>
    <row r="1500">
      <c r="A1500" t="n">
        <v>1492</v>
      </c>
      <c r="B1500" t="n">
        <v>0</v>
      </c>
      <c r="C1500" t="n">
        <v>0</v>
      </c>
      <c r="D1500" t="n">
        <v>1698.670986889335</v>
      </c>
      <c r="E1500">
        <f>C1500&lt;0.05</f>
        <v/>
      </c>
      <c r="F1500">
        <f>A1500=$B$5</f>
        <v/>
      </c>
      <c r="G1500">
        <f>IF(E1500,A1500,10^9)</f>
        <v/>
      </c>
      <c r="H1500">
        <f>IF(E1500,D1500,10^9)</f>
        <v/>
      </c>
    </row>
    <row r="1501">
      <c r="A1501" t="n">
        <v>1493</v>
      </c>
      <c r="B1501" t="n">
        <v>0</v>
      </c>
      <c r="C1501" t="n">
        <v>0</v>
      </c>
      <c r="D1501" t="n">
        <v>1699.670986889335</v>
      </c>
      <c r="E1501">
        <f>C1501&lt;0.05</f>
        <v/>
      </c>
      <c r="F1501">
        <f>A1501=$B$5</f>
        <v/>
      </c>
      <c r="G1501">
        <f>IF(E1501,A1501,10^9)</f>
        <v/>
      </c>
      <c r="H1501">
        <f>IF(E1501,D1501,10^9)</f>
        <v/>
      </c>
    </row>
    <row r="1502">
      <c r="A1502" t="n">
        <v>1494</v>
      </c>
      <c r="B1502" t="n">
        <v>0</v>
      </c>
      <c r="C1502" t="n">
        <v>0</v>
      </c>
      <c r="D1502" t="n">
        <v>1700.670986889335</v>
      </c>
      <c r="E1502">
        <f>C1502&lt;0.05</f>
        <v/>
      </c>
      <c r="F1502">
        <f>A1502=$B$5</f>
        <v/>
      </c>
      <c r="G1502">
        <f>IF(E1502,A1502,10^9)</f>
        <v/>
      </c>
      <c r="H1502">
        <f>IF(E1502,D1502,10^9)</f>
        <v/>
      </c>
    </row>
    <row r="1503">
      <c r="A1503" t="n">
        <v>1495</v>
      </c>
      <c r="B1503" t="n">
        <v>0</v>
      </c>
      <c r="C1503" t="n">
        <v>0</v>
      </c>
      <c r="D1503" t="n">
        <v>1701.670986889335</v>
      </c>
      <c r="E1503">
        <f>C1503&lt;0.05</f>
        <v/>
      </c>
      <c r="F1503">
        <f>A1503=$B$5</f>
        <v/>
      </c>
      <c r="G1503">
        <f>IF(E1503,A1503,10^9)</f>
        <v/>
      </c>
      <c r="H1503">
        <f>IF(E1503,D1503,10^9)</f>
        <v/>
      </c>
    </row>
    <row r="1504">
      <c r="A1504" t="n">
        <v>1496</v>
      </c>
      <c r="B1504" t="n">
        <v>0</v>
      </c>
      <c r="C1504" t="n">
        <v>0</v>
      </c>
      <c r="D1504" t="n">
        <v>1702.670986889335</v>
      </c>
      <c r="E1504">
        <f>C1504&lt;0.05</f>
        <v/>
      </c>
      <c r="F1504">
        <f>A1504=$B$5</f>
        <v/>
      </c>
      <c r="G1504">
        <f>IF(E1504,A1504,10^9)</f>
        <v/>
      </c>
      <c r="H1504">
        <f>IF(E1504,D1504,10^9)</f>
        <v/>
      </c>
    </row>
    <row r="1505">
      <c r="A1505" t="n">
        <v>1497</v>
      </c>
      <c r="B1505" t="n">
        <v>0</v>
      </c>
      <c r="C1505" t="n">
        <v>0</v>
      </c>
      <c r="D1505" t="n">
        <v>1703.670986889335</v>
      </c>
      <c r="E1505">
        <f>C1505&lt;0.05</f>
        <v/>
      </c>
      <c r="F1505">
        <f>A1505=$B$5</f>
        <v/>
      </c>
      <c r="G1505">
        <f>IF(E1505,A1505,10^9)</f>
        <v/>
      </c>
      <c r="H1505">
        <f>IF(E1505,D1505,10^9)</f>
        <v/>
      </c>
    </row>
    <row r="1506">
      <c r="A1506" t="n">
        <v>1498</v>
      </c>
      <c r="B1506" t="n">
        <v>0</v>
      </c>
      <c r="C1506" t="n">
        <v>0</v>
      </c>
      <c r="D1506" t="n">
        <v>1704.670986889335</v>
      </c>
      <c r="E1506">
        <f>C1506&lt;0.05</f>
        <v/>
      </c>
      <c r="F1506">
        <f>A1506=$B$5</f>
        <v/>
      </c>
      <c r="G1506">
        <f>IF(E1506,A1506,10^9)</f>
        <v/>
      </c>
      <c r="H1506">
        <f>IF(E1506,D1506,10^9)</f>
        <v/>
      </c>
    </row>
    <row r="1507">
      <c r="A1507" t="n">
        <v>1499</v>
      </c>
      <c r="B1507" t="n">
        <v>0</v>
      </c>
      <c r="C1507" t="n">
        <v>0</v>
      </c>
      <c r="D1507" t="n">
        <v>1705.670986889335</v>
      </c>
      <c r="E1507">
        <f>C1507&lt;0.05</f>
        <v/>
      </c>
      <c r="F1507">
        <f>A1507=$B$5</f>
        <v/>
      </c>
      <c r="G1507">
        <f>IF(E1507,A1507,10^9)</f>
        <v/>
      </c>
      <c r="H1507">
        <f>IF(E1507,D1507,10^9)</f>
        <v/>
      </c>
    </row>
    <row r="1508">
      <c r="A1508" t="n">
        <v>1500</v>
      </c>
      <c r="B1508" t="n">
        <v>0</v>
      </c>
      <c r="C1508" t="n">
        <v>0</v>
      </c>
      <c r="D1508" t="n">
        <v>1706.670986889335</v>
      </c>
      <c r="E1508">
        <f>C1508&lt;0.05</f>
        <v/>
      </c>
      <c r="F1508">
        <f>A1508=$B$5</f>
        <v/>
      </c>
      <c r="G1508">
        <f>IF(E1508,A1508,10^9)</f>
        <v/>
      </c>
      <c r="H1508">
        <f>IF(E1508,D1508,10^9)</f>
        <v/>
      </c>
    </row>
    <row r="1509">
      <c r="A1509" t="n">
        <v>1501</v>
      </c>
      <c r="B1509" t="n">
        <v>0</v>
      </c>
      <c r="C1509" t="n">
        <v>0</v>
      </c>
      <c r="D1509" t="n">
        <v>1707.670986889335</v>
      </c>
      <c r="E1509">
        <f>C1509&lt;0.05</f>
        <v/>
      </c>
      <c r="F1509">
        <f>A1509=$B$5</f>
        <v/>
      </c>
      <c r="G1509">
        <f>IF(E1509,A1509,10^9)</f>
        <v/>
      </c>
      <c r="H1509">
        <f>IF(E1509,D1509,10^9)</f>
        <v/>
      </c>
    </row>
    <row r="1510">
      <c r="A1510" t="n">
        <v>1502</v>
      </c>
      <c r="B1510" t="n">
        <v>0</v>
      </c>
      <c r="C1510" t="n">
        <v>0</v>
      </c>
      <c r="D1510" t="n">
        <v>1708.670986889335</v>
      </c>
      <c r="E1510">
        <f>C1510&lt;0.05</f>
        <v/>
      </c>
      <c r="F1510">
        <f>A1510=$B$5</f>
        <v/>
      </c>
      <c r="G1510">
        <f>IF(E1510,A1510,10^9)</f>
        <v/>
      </c>
      <c r="H1510">
        <f>IF(E1510,D1510,10^9)</f>
        <v/>
      </c>
    </row>
    <row r="1511">
      <c r="A1511" t="n">
        <v>1503</v>
      </c>
      <c r="B1511" t="n">
        <v>0</v>
      </c>
      <c r="C1511" t="n">
        <v>0</v>
      </c>
      <c r="D1511" t="n">
        <v>1709.670986889335</v>
      </c>
      <c r="E1511">
        <f>C1511&lt;0.05</f>
        <v/>
      </c>
      <c r="F1511">
        <f>A1511=$B$5</f>
        <v/>
      </c>
      <c r="G1511">
        <f>IF(E1511,A1511,10^9)</f>
        <v/>
      </c>
      <c r="H1511">
        <f>IF(E1511,D1511,10^9)</f>
        <v/>
      </c>
    </row>
    <row r="1512">
      <c r="A1512" t="n">
        <v>1504</v>
      </c>
      <c r="B1512" t="n">
        <v>0</v>
      </c>
      <c r="C1512" t="n">
        <v>0</v>
      </c>
      <c r="D1512" t="n">
        <v>1710.670986889335</v>
      </c>
      <c r="E1512">
        <f>C1512&lt;0.05</f>
        <v/>
      </c>
      <c r="F1512">
        <f>A1512=$B$5</f>
        <v/>
      </c>
      <c r="G1512">
        <f>IF(E1512,A1512,10^9)</f>
        <v/>
      </c>
      <c r="H1512">
        <f>IF(E1512,D1512,10^9)</f>
        <v/>
      </c>
    </row>
    <row r="1513">
      <c r="A1513" t="n">
        <v>1505</v>
      </c>
      <c r="B1513" t="n">
        <v>0</v>
      </c>
      <c r="C1513" t="n">
        <v>0</v>
      </c>
      <c r="D1513" t="n">
        <v>1711.670986889335</v>
      </c>
      <c r="E1513">
        <f>C1513&lt;0.05</f>
        <v/>
      </c>
      <c r="F1513">
        <f>A1513=$B$5</f>
        <v/>
      </c>
      <c r="G1513">
        <f>IF(E1513,A1513,10^9)</f>
        <v/>
      </c>
      <c r="H1513">
        <f>IF(E1513,D1513,10^9)</f>
        <v/>
      </c>
    </row>
    <row r="1514">
      <c r="A1514" t="n">
        <v>1506</v>
      </c>
      <c r="B1514" t="n">
        <v>0</v>
      </c>
      <c r="C1514" t="n">
        <v>0</v>
      </c>
      <c r="D1514" t="n">
        <v>1712.670986889335</v>
      </c>
      <c r="E1514">
        <f>C1514&lt;0.05</f>
        <v/>
      </c>
      <c r="F1514">
        <f>A1514=$B$5</f>
        <v/>
      </c>
      <c r="G1514">
        <f>IF(E1514,A1514,10^9)</f>
        <v/>
      </c>
      <c r="H1514">
        <f>IF(E1514,D1514,10^9)</f>
        <v/>
      </c>
    </row>
    <row r="1515">
      <c r="A1515" t="n">
        <v>1507</v>
      </c>
      <c r="B1515" t="n">
        <v>0</v>
      </c>
      <c r="C1515" t="n">
        <v>0</v>
      </c>
      <c r="D1515" t="n">
        <v>1713.670986889335</v>
      </c>
      <c r="E1515">
        <f>C1515&lt;0.05</f>
        <v/>
      </c>
      <c r="F1515">
        <f>A1515=$B$5</f>
        <v/>
      </c>
      <c r="G1515">
        <f>IF(E1515,A1515,10^9)</f>
        <v/>
      </c>
      <c r="H1515">
        <f>IF(E1515,D1515,10^9)</f>
        <v/>
      </c>
    </row>
    <row r="1516">
      <c r="A1516" t="n">
        <v>1508</v>
      </c>
      <c r="B1516" t="n">
        <v>0</v>
      </c>
      <c r="C1516" t="n">
        <v>0</v>
      </c>
      <c r="D1516" t="n">
        <v>1714.670986889335</v>
      </c>
      <c r="E1516">
        <f>C1516&lt;0.05</f>
        <v/>
      </c>
      <c r="F1516">
        <f>A1516=$B$5</f>
        <v/>
      </c>
      <c r="G1516">
        <f>IF(E1516,A1516,10^9)</f>
        <v/>
      </c>
      <c r="H1516">
        <f>IF(E1516,D1516,10^9)</f>
        <v/>
      </c>
    </row>
    <row r="1517">
      <c r="A1517" t="n">
        <v>1509</v>
      </c>
      <c r="B1517" t="n">
        <v>0</v>
      </c>
      <c r="C1517" t="n">
        <v>0</v>
      </c>
      <c r="D1517" t="n">
        <v>1715.670986889335</v>
      </c>
      <c r="E1517">
        <f>C1517&lt;0.05</f>
        <v/>
      </c>
      <c r="F1517">
        <f>A1517=$B$5</f>
        <v/>
      </c>
      <c r="G1517">
        <f>IF(E1517,A1517,10^9)</f>
        <v/>
      </c>
      <c r="H1517">
        <f>IF(E1517,D1517,10^9)</f>
        <v/>
      </c>
    </row>
    <row r="1518">
      <c r="A1518" t="n">
        <v>1510</v>
      </c>
      <c r="B1518" t="n">
        <v>0</v>
      </c>
      <c r="C1518" t="n">
        <v>0</v>
      </c>
      <c r="D1518" t="n">
        <v>1716.670986889335</v>
      </c>
      <c r="E1518">
        <f>C1518&lt;0.05</f>
        <v/>
      </c>
      <c r="F1518">
        <f>A1518=$B$5</f>
        <v/>
      </c>
      <c r="G1518">
        <f>IF(E1518,A1518,10^9)</f>
        <v/>
      </c>
      <c r="H1518">
        <f>IF(E1518,D1518,10^9)</f>
        <v/>
      </c>
    </row>
    <row r="1519">
      <c r="A1519" t="n">
        <v>1511</v>
      </c>
      <c r="B1519" t="n">
        <v>0</v>
      </c>
      <c r="C1519" t="n">
        <v>0</v>
      </c>
      <c r="D1519" t="n">
        <v>1717.670986889335</v>
      </c>
      <c r="E1519">
        <f>C1519&lt;0.05</f>
        <v/>
      </c>
      <c r="F1519">
        <f>A1519=$B$5</f>
        <v/>
      </c>
      <c r="G1519">
        <f>IF(E1519,A1519,10^9)</f>
        <v/>
      </c>
      <c r="H1519">
        <f>IF(E1519,D1519,10^9)</f>
        <v/>
      </c>
    </row>
    <row r="1520">
      <c r="A1520" t="n">
        <v>1512</v>
      </c>
      <c r="B1520" t="n">
        <v>0</v>
      </c>
      <c r="C1520" t="n">
        <v>0</v>
      </c>
      <c r="D1520" t="n">
        <v>1718.670986889335</v>
      </c>
      <c r="E1520">
        <f>C1520&lt;0.05</f>
        <v/>
      </c>
      <c r="F1520">
        <f>A1520=$B$5</f>
        <v/>
      </c>
      <c r="G1520">
        <f>IF(E1520,A1520,10^9)</f>
        <v/>
      </c>
      <c r="H1520">
        <f>IF(E1520,D1520,10^9)</f>
        <v/>
      </c>
    </row>
    <row r="1521">
      <c r="A1521" t="n">
        <v>1513</v>
      </c>
      <c r="B1521" t="n">
        <v>0</v>
      </c>
      <c r="C1521" t="n">
        <v>0</v>
      </c>
      <c r="D1521" t="n">
        <v>1719.670986889335</v>
      </c>
      <c r="E1521">
        <f>C1521&lt;0.05</f>
        <v/>
      </c>
      <c r="F1521">
        <f>A1521=$B$5</f>
        <v/>
      </c>
      <c r="G1521">
        <f>IF(E1521,A1521,10^9)</f>
        <v/>
      </c>
      <c r="H1521">
        <f>IF(E1521,D1521,10^9)</f>
        <v/>
      </c>
    </row>
    <row r="1522">
      <c r="A1522" t="n">
        <v>1514</v>
      </c>
      <c r="B1522" t="n">
        <v>0</v>
      </c>
      <c r="C1522" t="n">
        <v>0</v>
      </c>
      <c r="D1522" t="n">
        <v>1720.670986889335</v>
      </c>
      <c r="E1522">
        <f>C1522&lt;0.05</f>
        <v/>
      </c>
      <c r="F1522">
        <f>A1522=$B$5</f>
        <v/>
      </c>
      <c r="G1522">
        <f>IF(E1522,A1522,10^9)</f>
        <v/>
      </c>
      <c r="H1522">
        <f>IF(E1522,D1522,10^9)</f>
        <v/>
      </c>
    </row>
    <row r="1523">
      <c r="A1523" t="n">
        <v>1515</v>
      </c>
      <c r="B1523" t="n">
        <v>0</v>
      </c>
      <c r="C1523" t="n">
        <v>0</v>
      </c>
      <c r="D1523" t="n">
        <v>1721.670986889335</v>
      </c>
      <c r="E1523">
        <f>C1523&lt;0.05</f>
        <v/>
      </c>
      <c r="F1523">
        <f>A1523=$B$5</f>
        <v/>
      </c>
      <c r="G1523">
        <f>IF(E1523,A1523,10^9)</f>
        <v/>
      </c>
      <c r="H1523">
        <f>IF(E1523,D1523,10^9)</f>
        <v/>
      </c>
    </row>
    <row r="1524">
      <c r="A1524" t="n">
        <v>1516</v>
      </c>
      <c r="B1524" t="n">
        <v>0</v>
      </c>
      <c r="C1524" t="n">
        <v>0</v>
      </c>
      <c r="D1524" t="n">
        <v>1722.670986889335</v>
      </c>
      <c r="E1524">
        <f>C1524&lt;0.05</f>
        <v/>
      </c>
      <c r="F1524">
        <f>A1524=$B$5</f>
        <v/>
      </c>
      <c r="G1524">
        <f>IF(E1524,A1524,10^9)</f>
        <v/>
      </c>
      <c r="H1524">
        <f>IF(E1524,D1524,10^9)</f>
        <v/>
      </c>
    </row>
    <row r="1525">
      <c r="A1525" t="n">
        <v>1517</v>
      </c>
      <c r="B1525" t="n">
        <v>0</v>
      </c>
      <c r="C1525" t="n">
        <v>0</v>
      </c>
      <c r="D1525" t="n">
        <v>1723.670986889335</v>
      </c>
      <c r="E1525">
        <f>C1525&lt;0.05</f>
        <v/>
      </c>
      <c r="F1525">
        <f>A1525=$B$5</f>
        <v/>
      </c>
      <c r="G1525">
        <f>IF(E1525,A1525,10^9)</f>
        <v/>
      </c>
      <c r="H1525">
        <f>IF(E1525,D1525,10^9)</f>
        <v/>
      </c>
    </row>
    <row r="1526">
      <c r="A1526" t="n">
        <v>1518</v>
      </c>
      <c r="B1526" t="n">
        <v>0</v>
      </c>
      <c r="C1526" t="n">
        <v>0</v>
      </c>
      <c r="D1526" t="n">
        <v>1724.670986889335</v>
      </c>
      <c r="E1526">
        <f>C1526&lt;0.05</f>
        <v/>
      </c>
      <c r="F1526">
        <f>A1526=$B$5</f>
        <v/>
      </c>
      <c r="G1526">
        <f>IF(E1526,A1526,10^9)</f>
        <v/>
      </c>
      <c r="H1526">
        <f>IF(E1526,D1526,10^9)</f>
        <v/>
      </c>
    </row>
    <row r="1527">
      <c r="A1527" t="n">
        <v>1519</v>
      </c>
      <c r="B1527" t="n">
        <v>0</v>
      </c>
      <c r="C1527" t="n">
        <v>0</v>
      </c>
      <c r="D1527" t="n">
        <v>1725.670986889335</v>
      </c>
      <c r="E1527">
        <f>C1527&lt;0.05</f>
        <v/>
      </c>
      <c r="F1527">
        <f>A1527=$B$5</f>
        <v/>
      </c>
      <c r="G1527">
        <f>IF(E1527,A1527,10^9)</f>
        <v/>
      </c>
      <c r="H1527">
        <f>IF(E1527,D1527,10^9)</f>
        <v/>
      </c>
    </row>
    <row r="1528">
      <c r="A1528" t="n">
        <v>1520</v>
      </c>
      <c r="B1528" t="n">
        <v>0</v>
      </c>
      <c r="C1528" t="n">
        <v>0</v>
      </c>
      <c r="D1528" t="n">
        <v>1726.670986889335</v>
      </c>
      <c r="E1528">
        <f>C1528&lt;0.05</f>
        <v/>
      </c>
      <c r="F1528">
        <f>A1528=$B$5</f>
        <v/>
      </c>
      <c r="G1528">
        <f>IF(E1528,A1528,10^9)</f>
        <v/>
      </c>
      <c r="H1528">
        <f>IF(E1528,D1528,10^9)</f>
        <v/>
      </c>
    </row>
    <row r="1529">
      <c r="A1529" t="n">
        <v>1521</v>
      </c>
      <c r="B1529" t="n">
        <v>0</v>
      </c>
      <c r="C1529" t="n">
        <v>0</v>
      </c>
      <c r="D1529" t="n">
        <v>1727.670986889335</v>
      </c>
      <c r="E1529">
        <f>C1529&lt;0.05</f>
        <v/>
      </c>
      <c r="F1529">
        <f>A1529=$B$5</f>
        <v/>
      </c>
      <c r="G1529">
        <f>IF(E1529,A1529,10^9)</f>
        <v/>
      </c>
      <c r="H1529">
        <f>IF(E1529,D1529,10^9)</f>
        <v/>
      </c>
    </row>
    <row r="1530">
      <c r="A1530" t="n">
        <v>1522</v>
      </c>
      <c r="B1530" t="n">
        <v>0</v>
      </c>
      <c r="C1530" t="n">
        <v>0</v>
      </c>
      <c r="D1530" t="n">
        <v>1728.670986889335</v>
      </c>
      <c r="E1530">
        <f>C1530&lt;0.05</f>
        <v/>
      </c>
      <c r="F1530">
        <f>A1530=$B$5</f>
        <v/>
      </c>
      <c r="G1530">
        <f>IF(E1530,A1530,10^9)</f>
        <v/>
      </c>
      <c r="H1530">
        <f>IF(E1530,D1530,10^9)</f>
        <v/>
      </c>
    </row>
    <row r="1531">
      <c r="A1531" t="n">
        <v>1523</v>
      </c>
      <c r="B1531" t="n">
        <v>0</v>
      </c>
      <c r="C1531" t="n">
        <v>0</v>
      </c>
      <c r="D1531" t="n">
        <v>1729.670986889335</v>
      </c>
      <c r="E1531">
        <f>C1531&lt;0.05</f>
        <v/>
      </c>
      <c r="F1531">
        <f>A1531=$B$5</f>
        <v/>
      </c>
      <c r="G1531">
        <f>IF(E1531,A1531,10^9)</f>
        <v/>
      </c>
      <c r="H1531">
        <f>IF(E1531,D1531,10^9)</f>
        <v/>
      </c>
    </row>
    <row r="1532">
      <c r="A1532" t="n">
        <v>1524</v>
      </c>
      <c r="B1532" t="n">
        <v>0</v>
      </c>
      <c r="C1532" t="n">
        <v>0</v>
      </c>
      <c r="D1532" t="n">
        <v>1730.670986889335</v>
      </c>
      <c r="E1532">
        <f>C1532&lt;0.05</f>
        <v/>
      </c>
      <c r="F1532">
        <f>A1532=$B$5</f>
        <v/>
      </c>
      <c r="G1532">
        <f>IF(E1532,A1532,10^9)</f>
        <v/>
      </c>
      <c r="H1532">
        <f>IF(E1532,D1532,10^9)</f>
        <v/>
      </c>
    </row>
    <row r="1533">
      <c r="A1533" t="n">
        <v>1525</v>
      </c>
      <c r="B1533" t="n">
        <v>0</v>
      </c>
      <c r="C1533" t="n">
        <v>0</v>
      </c>
      <c r="D1533" t="n">
        <v>1731.670986889335</v>
      </c>
      <c r="E1533">
        <f>C1533&lt;0.05</f>
        <v/>
      </c>
      <c r="F1533">
        <f>A1533=$B$5</f>
        <v/>
      </c>
      <c r="G1533">
        <f>IF(E1533,A1533,10^9)</f>
        <v/>
      </c>
      <c r="H1533">
        <f>IF(E1533,D1533,10^9)</f>
        <v/>
      </c>
    </row>
    <row r="1534">
      <c r="A1534" t="n">
        <v>1526</v>
      </c>
      <c r="B1534" t="n">
        <v>0</v>
      </c>
      <c r="C1534" t="n">
        <v>0</v>
      </c>
      <c r="D1534" t="n">
        <v>1732.670986889335</v>
      </c>
      <c r="E1534">
        <f>C1534&lt;0.05</f>
        <v/>
      </c>
      <c r="F1534">
        <f>A1534=$B$5</f>
        <v/>
      </c>
      <c r="G1534">
        <f>IF(E1534,A1534,10^9)</f>
        <v/>
      </c>
      <c r="H1534">
        <f>IF(E1534,D1534,10^9)</f>
        <v/>
      </c>
    </row>
    <row r="1535">
      <c r="A1535" t="n">
        <v>1527</v>
      </c>
      <c r="B1535" t="n">
        <v>0</v>
      </c>
      <c r="C1535" t="n">
        <v>0</v>
      </c>
      <c r="D1535" t="n">
        <v>1733.670986889335</v>
      </c>
      <c r="E1535">
        <f>C1535&lt;0.05</f>
        <v/>
      </c>
      <c r="F1535">
        <f>A1535=$B$5</f>
        <v/>
      </c>
      <c r="G1535">
        <f>IF(E1535,A1535,10^9)</f>
        <v/>
      </c>
      <c r="H1535">
        <f>IF(E1535,D1535,10^9)</f>
        <v/>
      </c>
    </row>
    <row r="1536">
      <c r="A1536" t="n">
        <v>1528</v>
      </c>
      <c r="B1536" t="n">
        <v>0</v>
      </c>
      <c r="C1536" t="n">
        <v>0</v>
      </c>
      <c r="D1536" t="n">
        <v>1734.670986889335</v>
      </c>
      <c r="E1536">
        <f>C1536&lt;0.05</f>
        <v/>
      </c>
      <c r="F1536">
        <f>A1536=$B$5</f>
        <v/>
      </c>
      <c r="G1536">
        <f>IF(E1536,A1536,10^9)</f>
        <v/>
      </c>
      <c r="H1536">
        <f>IF(E1536,D1536,10^9)</f>
        <v/>
      </c>
    </row>
    <row r="1537">
      <c r="A1537" t="n">
        <v>1529</v>
      </c>
      <c r="B1537" t="n">
        <v>0</v>
      </c>
      <c r="C1537" t="n">
        <v>0</v>
      </c>
      <c r="D1537" t="n">
        <v>1735.670986889335</v>
      </c>
      <c r="E1537">
        <f>C1537&lt;0.05</f>
        <v/>
      </c>
      <c r="F1537">
        <f>A1537=$B$5</f>
        <v/>
      </c>
      <c r="G1537">
        <f>IF(E1537,A1537,10^9)</f>
        <v/>
      </c>
      <c r="H1537">
        <f>IF(E1537,D1537,10^9)</f>
        <v/>
      </c>
    </row>
    <row r="1538">
      <c r="A1538" t="n">
        <v>1530</v>
      </c>
      <c r="B1538" t="n">
        <v>0</v>
      </c>
      <c r="C1538" t="n">
        <v>0</v>
      </c>
      <c r="D1538" t="n">
        <v>1736.670986889335</v>
      </c>
      <c r="E1538">
        <f>C1538&lt;0.05</f>
        <v/>
      </c>
      <c r="F1538">
        <f>A1538=$B$5</f>
        <v/>
      </c>
      <c r="G1538">
        <f>IF(E1538,A1538,10^9)</f>
        <v/>
      </c>
      <c r="H1538">
        <f>IF(E1538,D1538,10^9)</f>
        <v/>
      </c>
    </row>
    <row r="1539">
      <c r="A1539" t="n">
        <v>1531</v>
      </c>
      <c r="B1539" t="n">
        <v>0</v>
      </c>
      <c r="C1539" t="n">
        <v>0</v>
      </c>
      <c r="D1539" t="n">
        <v>1737.670986889335</v>
      </c>
      <c r="E1539">
        <f>C1539&lt;0.05</f>
        <v/>
      </c>
      <c r="F1539">
        <f>A1539=$B$5</f>
        <v/>
      </c>
      <c r="G1539">
        <f>IF(E1539,A1539,10^9)</f>
        <v/>
      </c>
      <c r="H1539">
        <f>IF(E1539,D1539,10^9)</f>
        <v/>
      </c>
    </row>
    <row r="1540">
      <c r="A1540" t="n">
        <v>1532</v>
      </c>
      <c r="B1540" t="n">
        <v>0</v>
      </c>
      <c r="C1540" t="n">
        <v>0</v>
      </c>
      <c r="D1540" t="n">
        <v>1738.670986889335</v>
      </c>
      <c r="E1540">
        <f>C1540&lt;0.05</f>
        <v/>
      </c>
      <c r="F1540">
        <f>A1540=$B$5</f>
        <v/>
      </c>
      <c r="G1540">
        <f>IF(E1540,A1540,10^9)</f>
        <v/>
      </c>
      <c r="H1540">
        <f>IF(E1540,D1540,10^9)</f>
        <v/>
      </c>
    </row>
    <row r="1541">
      <c r="A1541" t="n">
        <v>1533</v>
      </c>
      <c r="B1541" t="n">
        <v>0</v>
      </c>
      <c r="C1541" t="n">
        <v>0</v>
      </c>
      <c r="D1541" t="n">
        <v>1739.670986889335</v>
      </c>
      <c r="E1541">
        <f>C1541&lt;0.05</f>
        <v/>
      </c>
      <c r="F1541">
        <f>A1541=$B$5</f>
        <v/>
      </c>
      <c r="G1541">
        <f>IF(E1541,A1541,10^9)</f>
        <v/>
      </c>
      <c r="H1541">
        <f>IF(E1541,D1541,10^9)</f>
        <v/>
      </c>
    </row>
    <row r="1542">
      <c r="A1542" t="n">
        <v>1534</v>
      </c>
      <c r="B1542" t="n">
        <v>0</v>
      </c>
      <c r="C1542" t="n">
        <v>0</v>
      </c>
      <c r="D1542" t="n">
        <v>1740.670986889335</v>
      </c>
      <c r="E1542">
        <f>C1542&lt;0.05</f>
        <v/>
      </c>
      <c r="F1542">
        <f>A1542=$B$5</f>
        <v/>
      </c>
      <c r="G1542">
        <f>IF(E1542,A1542,10^9)</f>
        <v/>
      </c>
      <c r="H1542">
        <f>IF(E1542,D1542,10^9)</f>
        <v/>
      </c>
    </row>
    <row r="1543">
      <c r="A1543" t="n">
        <v>1535</v>
      </c>
      <c r="B1543" t="n">
        <v>0</v>
      </c>
      <c r="C1543" t="n">
        <v>0</v>
      </c>
      <c r="D1543" t="n">
        <v>1741.670986889335</v>
      </c>
      <c r="E1543">
        <f>C1543&lt;0.05</f>
        <v/>
      </c>
      <c r="F1543">
        <f>A1543=$B$5</f>
        <v/>
      </c>
      <c r="G1543">
        <f>IF(E1543,A1543,10^9)</f>
        <v/>
      </c>
      <c r="H1543">
        <f>IF(E1543,D1543,10^9)</f>
        <v/>
      </c>
    </row>
    <row r="1544">
      <c r="A1544" t="n">
        <v>1536</v>
      </c>
      <c r="B1544" t="n">
        <v>0</v>
      </c>
      <c r="C1544" t="n">
        <v>0</v>
      </c>
      <c r="D1544" t="n">
        <v>1742.670986889335</v>
      </c>
      <c r="E1544">
        <f>C1544&lt;0.05</f>
        <v/>
      </c>
      <c r="F1544">
        <f>A1544=$B$5</f>
        <v/>
      </c>
      <c r="G1544">
        <f>IF(E1544,A1544,10^9)</f>
        <v/>
      </c>
      <c r="H1544">
        <f>IF(E1544,D1544,10^9)</f>
        <v/>
      </c>
    </row>
    <row r="1545">
      <c r="A1545" t="n">
        <v>1537</v>
      </c>
      <c r="B1545" t="n">
        <v>0</v>
      </c>
      <c r="C1545" t="n">
        <v>0</v>
      </c>
      <c r="D1545" t="n">
        <v>1743.670986889335</v>
      </c>
      <c r="E1545">
        <f>C1545&lt;0.05</f>
        <v/>
      </c>
      <c r="F1545">
        <f>A1545=$B$5</f>
        <v/>
      </c>
      <c r="G1545">
        <f>IF(E1545,A1545,10^9)</f>
        <v/>
      </c>
      <c r="H1545">
        <f>IF(E1545,D1545,10^9)</f>
        <v/>
      </c>
    </row>
    <row r="1546">
      <c r="A1546" t="n">
        <v>1538</v>
      </c>
      <c r="B1546" t="n">
        <v>0</v>
      </c>
      <c r="C1546" t="n">
        <v>0</v>
      </c>
      <c r="D1546" t="n">
        <v>1744.670986889335</v>
      </c>
      <c r="E1546">
        <f>C1546&lt;0.05</f>
        <v/>
      </c>
      <c r="F1546">
        <f>A1546=$B$5</f>
        <v/>
      </c>
      <c r="G1546">
        <f>IF(E1546,A1546,10^9)</f>
        <v/>
      </c>
      <c r="H1546">
        <f>IF(E1546,D1546,10^9)</f>
        <v/>
      </c>
    </row>
    <row r="1547">
      <c r="A1547" t="n">
        <v>1539</v>
      </c>
      <c r="B1547" t="n">
        <v>0</v>
      </c>
      <c r="C1547" t="n">
        <v>0</v>
      </c>
      <c r="D1547" t="n">
        <v>1745.670986889335</v>
      </c>
      <c r="E1547">
        <f>C1547&lt;0.05</f>
        <v/>
      </c>
      <c r="F1547">
        <f>A1547=$B$5</f>
        <v/>
      </c>
      <c r="G1547">
        <f>IF(E1547,A1547,10^9)</f>
        <v/>
      </c>
      <c r="H1547">
        <f>IF(E1547,D1547,10^9)</f>
        <v/>
      </c>
    </row>
    <row r="1548">
      <c r="A1548" t="n">
        <v>1540</v>
      </c>
      <c r="B1548" t="n">
        <v>0</v>
      </c>
      <c r="C1548" t="n">
        <v>0</v>
      </c>
      <c r="D1548" t="n">
        <v>1746.670986889335</v>
      </c>
      <c r="E1548">
        <f>C1548&lt;0.05</f>
        <v/>
      </c>
      <c r="F1548">
        <f>A1548=$B$5</f>
        <v/>
      </c>
      <c r="G1548">
        <f>IF(E1548,A1548,10^9)</f>
        <v/>
      </c>
      <c r="H1548">
        <f>IF(E1548,D1548,10^9)</f>
        <v/>
      </c>
    </row>
    <row r="1549">
      <c r="A1549" t="n">
        <v>1541</v>
      </c>
      <c r="B1549" t="n">
        <v>0</v>
      </c>
      <c r="C1549" t="n">
        <v>0</v>
      </c>
      <c r="D1549" t="n">
        <v>1747.670986889335</v>
      </c>
      <c r="E1549">
        <f>C1549&lt;0.05</f>
        <v/>
      </c>
      <c r="F1549">
        <f>A1549=$B$5</f>
        <v/>
      </c>
      <c r="G1549">
        <f>IF(E1549,A1549,10^9)</f>
        <v/>
      </c>
      <c r="H1549">
        <f>IF(E1549,D1549,10^9)</f>
        <v/>
      </c>
    </row>
    <row r="1550">
      <c r="A1550" t="n">
        <v>1542</v>
      </c>
      <c r="B1550" t="n">
        <v>0</v>
      </c>
      <c r="C1550" t="n">
        <v>0</v>
      </c>
      <c r="D1550" t="n">
        <v>1748.670986889335</v>
      </c>
      <c r="E1550">
        <f>C1550&lt;0.05</f>
        <v/>
      </c>
      <c r="F1550">
        <f>A1550=$B$5</f>
        <v/>
      </c>
      <c r="G1550">
        <f>IF(E1550,A1550,10^9)</f>
        <v/>
      </c>
      <c r="H1550">
        <f>IF(E1550,D1550,10^9)</f>
        <v/>
      </c>
    </row>
    <row r="1551">
      <c r="A1551" t="n">
        <v>1543</v>
      </c>
      <c r="B1551" t="n">
        <v>0</v>
      </c>
      <c r="C1551" t="n">
        <v>0</v>
      </c>
      <c r="D1551" t="n">
        <v>1749.670986889335</v>
      </c>
      <c r="E1551">
        <f>C1551&lt;0.05</f>
        <v/>
      </c>
      <c r="F1551">
        <f>A1551=$B$5</f>
        <v/>
      </c>
      <c r="G1551">
        <f>IF(E1551,A1551,10^9)</f>
        <v/>
      </c>
      <c r="H1551">
        <f>IF(E1551,D1551,10^9)</f>
        <v/>
      </c>
    </row>
    <row r="1552">
      <c r="A1552" t="n">
        <v>1544</v>
      </c>
      <c r="B1552" t="n">
        <v>0</v>
      </c>
      <c r="C1552" t="n">
        <v>0</v>
      </c>
      <c r="D1552" t="n">
        <v>1750.670986889335</v>
      </c>
      <c r="E1552">
        <f>C1552&lt;0.05</f>
        <v/>
      </c>
      <c r="F1552">
        <f>A1552=$B$5</f>
        <v/>
      </c>
      <c r="G1552">
        <f>IF(E1552,A1552,10^9)</f>
        <v/>
      </c>
      <c r="H1552">
        <f>IF(E1552,D1552,10^9)</f>
        <v/>
      </c>
    </row>
    <row r="1553">
      <c r="A1553" t="n">
        <v>1545</v>
      </c>
      <c r="B1553" t="n">
        <v>0</v>
      </c>
      <c r="C1553" t="n">
        <v>0</v>
      </c>
      <c r="D1553" t="n">
        <v>1751.670986889335</v>
      </c>
      <c r="E1553">
        <f>C1553&lt;0.05</f>
        <v/>
      </c>
      <c r="F1553">
        <f>A1553=$B$5</f>
        <v/>
      </c>
      <c r="G1553">
        <f>IF(E1553,A1553,10^9)</f>
        <v/>
      </c>
      <c r="H1553">
        <f>IF(E1553,D1553,10^9)</f>
        <v/>
      </c>
    </row>
    <row r="1554">
      <c r="A1554" t="n">
        <v>1546</v>
      </c>
      <c r="B1554" t="n">
        <v>0</v>
      </c>
      <c r="C1554" t="n">
        <v>0</v>
      </c>
      <c r="D1554" t="n">
        <v>1752.670986889335</v>
      </c>
      <c r="E1554">
        <f>C1554&lt;0.05</f>
        <v/>
      </c>
      <c r="F1554">
        <f>A1554=$B$5</f>
        <v/>
      </c>
      <c r="G1554">
        <f>IF(E1554,A1554,10^9)</f>
        <v/>
      </c>
      <c r="H1554">
        <f>IF(E1554,D1554,10^9)</f>
        <v/>
      </c>
    </row>
    <row r="1555">
      <c r="A1555" t="n">
        <v>1547</v>
      </c>
      <c r="B1555" t="n">
        <v>0</v>
      </c>
      <c r="C1555" t="n">
        <v>0</v>
      </c>
      <c r="D1555" t="n">
        <v>1753.670986889335</v>
      </c>
      <c r="E1555">
        <f>C1555&lt;0.05</f>
        <v/>
      </c>
      <c r="F1555">
        <f>A1555=$B$5</f>
        <v/>
      </c>
      <c r="G1555">
        <f>IF(E1555,A1555,10^9)</f>
        <v/>
      </c>
      <c r="H1555">
        <f>IF(E1555,D1555,10^9)</f>
        <v/>
      </c>
    </row>
    <row r="1556">
      <c r="A1556" t="n">
        <v>1548</v>
      </c>
      <c r="B1556" t="n">
        <v>0</v>
      </c>
      <c r="C1556" t="n">
        <v>0</v>
      </c>
      <c r="D1556" t="n">
        <v>1754.670986889335</v>
      </c>
      <c r="E1556">
        <f>C1556&lt;0.05</f>
        <v/>
      </c>
      <c r="F1556">
        <f>A1556=$B$5</f>
        <v/>
      </c>
      <c r="G1556">
        <f>IF(E1556,A1556,10^9)</f>
        <v/>
      </c>
      <c r="H1556">
        <f>IF(E1556,D1556,10^9)</f>
        <v/>
      </c>
    </row>
    <row r="1557">
      <c r="A1557" t="n">
        <v>1549</v>
      </c>
      <c r="B1557" t="n">
        <v>0</v>
      </c>
      <c r="C1557" t="n">
        <v>0</v>
      </c>
      <c r="D1557" t="n">
        <v>1755.670986889335</v>
      </c>
      <c r="E1557">
        <f>C1557&lt;0.05</f>
        <v/>
      </c>
      <c r="F1557">
        <f>A1557=$B$5</f>
        <v/>
      </c>
      <c r="G1557">
        <f>IF(E1557,A1557,10^9)</f>
        <v/>
      </c>
      <c r="H1557">
        <f>IF(E1557,D1557,10^9)</f>
        <v/>
      </c>
    </row>
    <row r="1558">
      <c r="A1558" t="n">
        <v>1550</v>
      </c>
      <c r="B1558" t="n">
        <v>0</v>
      </c>
      <c r="C1558" t="n">
        <v>0</v>
      </c>
      <c r="D1558" t="n">
        <v>1756.670986889335</v>
      </c>
      <c r="E1558">
        <f>C1558&lt;0.05</f>
        <v/>
      </c>
      <c r="F1558">
        <f>A1558=$B$5</f>
        <v/>
      </c>
      <c r="G1558">
        <f>IF(E1558,A1558,10^9)</f>
        <v/>
      </c>
      <c r="H1558">
        <f>IF(E1558,D1558,10^9)</f>
        <v/>
      </c>
    </row>
    <row r="1559">
      <c r="A1559" t="n">
        <v>1551</v>
      </c>
      <c r="B1559" t="n">
        <v>0</v>
      </c>
      <c r="C1559" t="n">
        <v>0</v>
      </c>
      <c r="D1559" t="n">
        <v>1757.670986889335</v>
      </c>
      <c r="E1559">
        <f>C1559&lt;0.05</f>
        <v/>
      </c>
      <c r="F1559">
        <f>A1559=$B$5</f>
        <v/>
      </c>
      <c r="G1559">
        <f>IF(E1559,A1559,10^9)</f>
        <v/>
      </c>
      <c r="H1559">
        <f>IF(E1559,D1559,10^9)</f>
        <v/>
      </c>
    </row>
    <row r="1560">
      <c r="A1560" t="n">
        <v>1552</v>
      </c>
      <c r="B1560" t="n">
        <v>0</v>
      </c>
      <c r="C1560" t="n">
        <v>0</v>
      </c>
      <c r="D1560" t="n">
        <v>1758.670986889335</v>
      </c>
      <c r="E1560">
        <f>C1560&lt;0.05</f>
        <v/>
      </c>
      <c r="F1560">
        <f>A1560=$B$5</f>
        <v/>
      </c>
      <c r="G1560">
        <f>IF(E1560,A1560,10^9)</f>
        <v/>
      </c>
      <c r="H1560">
        <f>IF(E1560,D1560,10^9)</f>
        <v/>
      </c>
    </row>
    <row r="1561">
      <c r="A1561" t="n">
        <v>1553</v>
      </c>
      <c r="B1561" t="n">
        <v>0</v>
      </c>
      <c r="C1561" t="n">
        <v>0</v>
      </c>
      <c r="D1561" t="n">
        <v>1759.670986889335</v>
      </c>
      <c r="E1561">
        <f>C1561&lt;0.05</f>
        <v/>
      </c>
      <c r="F1561">
        <f>A1561=$B$5</f>
        <v/>
      </c>
      <c r="G1561">
        <f>IF(E1561,A1561,10^9)</f>
        <v/>
      </c>
      <c r="H1561">
        <f>IF(E1561,D1561,10^9)</f>
        <v/>
      </c>
    </row>
    <row r="1562">
      <c r="A1562" t="n">
        <v>1554</v>
      </c>
      <c r="B1562" t="n">
        <v>0</v>
      </c>
      <c r="C1562" t="n">
        <v>0</v>
      </c>
      <c r="D1562" t="n">
        <v>1760.670986889335</v>
      </c>
      <c r="E1562">
        <f>C1562&lt;0.05</f>
        <v/>
      </c>
      <c r="F1562">
        <f>A1562=$B$5</f>
        <v/>
      </c>
      <c r="G1562">
        <f>IF(E1562,A1562,10^9)</f>
        <v/>
      </c>
      <c r="H1562">
        <f>IF(E1562,D1562,10^9)</f>
        <v/>
      </c>
    </row>
    <row r="1563">
      <c r="A1563" t="n">
        <v>1555</v>
      </c>
      <c r="B1563" t="n">
        <v>0</v>
      </c>
      <c r="C1563" t="n">
        <v>0</v>
      </c>
      <c r="D1563" t="n">
        <v>1761.670986889335</v>
      </c>
      <c r="E1563">
        <f>C1563&lt;0.05</f>
        <v/>
      </c>
      <c r="F1563">
        <f>A1563=$B$5</f>
        <v/>
      </c>
      <c r="G1563">
        <f>IF(E1563,A1563,10^9)</f>
        <v/>
      </c>
      <c r="H1563">
        <f>IF(E1563,D1563,10^9)</f>
        <v/>
      </c>
    </row>
    <row r="1564">
      <c r="A1564" t="n">
        <v>1556</v>
      </c>
      <c r="B1564" t="n">
        <v>0</v>
      </c>
      <c r="C1564" t="n">
        <v>0</v>
      </c>
      <c r="D1564" t="n">
        <v>1762.670986889335</v>
      </c>
      <c r="E1564">
        <f>C1564&lt;0.05</f>
        <v/>
      </c>
      <c r="F1564">
        <f>A1564=$B$5</f>
        <v/>
      </c>
      <c r="G1564">
        <f>IF(E1564,A1564,10^9)</f>
        <v/>
      </c>
      <c r="H1564">
        <f>IF(E1564,D1564,10^9)</f>
        <v/>
      </c>
    </row>
    <row r="1565">
      <c r="A1565" t="n">
        <v>1557</v>
      </c>
      <c r="B1565" t="n">
        <v>0</v>
      </c>
      <c r="C1565" t="n">
        <v>0</v>
      </c>
      <c r="D1565" t="n">
        <v>1763.670986889335</v>
      </c>
      <c r="E1565">
        <f>C1565&lt;0.05</f>
        <v/>
      </c>
      <c r="F1565">
        <f>A1565=$B$5</f>
        <v/>
      </c>
      <c r="G1565">
        <f>IF(E1565,A1565,10^9)</f>
        <v/>
      </c>
      <c r="H1565">
        <f>IF(E1565,D1565,10^9)</f>
        <v/>
      </c>
    </row>
    <row r="1566">
      <c r="A1566" t="n">
        <v>1558</v>
      </c>
      <c r="B1566" t="n">
        <v>0</v>
      </c>
      <c r="C1566" t="n">
        <v>0</v>
      </c>
      <c r="D1566" t="n">
        <v>1764.670986889335</v>
      </c>
      <c r="E1566">
        <f>C1566&lt;0.05</f>
        <v/>
      </c>
      <c r="F1566">
        <f>A1566=$B$5</f>
        <v/>
      </c>
      <c r="G1566">
        <f>IF(E1566,A1566,10^9)</f>
        <v/>
      </c>
      <c r="H1566">
        <f>IF(E1566,D1566,10^9)</f>
        <v/>
      </c>
    </row>
    <row r="1567">
      <c r="A1567" t="n">
        <v>1559</v>
      </c>
      <c r="B1567" t="n">
        <v>0</v>
      </c>
      <c r="C1567" t="n">
        <v>0</v>
      </c>
      <c r="D1567" t="n">
        <v>1765.670986889335</v>
      </c>
      <c r="E1567">
        <f>C1567&lt;0.05</f>
        <v/>
      </c>
      <c r="F1567">
        <f>A1567=$B$5</f>
        <v/>
      </c>
      <c r="G1567">
        <f>IF(E1567,A1567,10^9)</f>
        <v/>
      </c>
      <c r="H1567">
        <f>IF(E1567,D1567,10^9)</f>
        <v/>
      </c>
    </row>
    <row r="1568">
      <c r="A1568" t="n">
        <v>1560</v>
      </c>
      <c r="B1568" t="n">
        <v>0</v>
      </c>
      <c r="C1568" t="n">
        <v>0</v>
      </c>
      <c r="D1568" t="n">
        <v>1766.670986889335</v>
      </c>
      <c r="E1568">
        <f>C1568&lt;0.05</f>
        <v/>
      </c>
      <c r="F1568">
        <f>A1568=$B$5</f>
        <v/>
      </c>
      <c r="G1568">
        <f>IF(E1568,A1568,10^9)</f>
        <v/>
      </c>
      <c r="H1568">
        <f>IF(E1568,D1568,10^9)</f>
        <v/>
      </c>
    </row>
    <row r="1569">
      <c r="A1569" t="n">
        <v>1561</v>
      </c>
      <c r="B1569" t="n">
        <v>0</v>
      </c>
      <c r="C1569" t="n">
        <v>0</v>
      </c>
      <c r="D1569" t="n">
        <v>1767.670986889335</v>
      </c>
      <c r="E1569">
        <f>C1569&lt;0.05</f>
        <v/>
      </c>
      <c r="F1569">
        <f>A1569=$B$5</f>
        <v/>
      </c>
      <c r="G1569">
        <f>IF(E1569,A1569,10^9)</f>
        <v/>
      </c>
      <c r="H1569">
        <f>IF(E1569,D1569,10^9)</f>
        <v/>
      </c>
    </row>
    <row r="1570">
      <c r="A1570" t="n">
        <v>1562</v>
      </c>
      <c r="B1570" t="n">
        <v>0</v>
      </c>
      <c r="C1570" t="n">
        <v>0</v>
      </c>
      <c r="D1570" t="n">
        <v>1768.670986889335</v>
      </c>
      <c r="E1570">
        <f>C1570&lt;0.05</f>
        <v/>
      </c>
      <c r="F1570">
        <f>A1570=$B$5</f>
        <v/>
      </c>
      <c r="G1570">
        <f>IF(E1570,A1570,10^9)</f>
        <v/>
      </c>
      <c r="H1570">
        <f>IF(E1570,D1570,10^9)</f>
        <v/>
      </c>
    </row>
    <row r="1571">
      <c r="A1571" t="n">
        <v>1563</v>
      </c>
      <c r="B1571" t="n">
        <v>0</v>
      </c>
      <c r="C1571" t="n">
        <v>0</v>
      </c>
      <c r="D1571" t="n">
        <v>1769.670986889335</v>
      </c>
      <c r="E1571">
        <f>C1571&lt;0.05</f>
        <v/>
      </c>
      <c r="F1571">
        <f>A1571=$B$5</f>
        <v/>
      </c>
      <c r="G1571">
        <f>IF(E1571,A1571,10^9)</f>
        <v/>
      </c>
      <c r="H1571">
        <f>IF(E1571,D1571,10^9)</f>
        <v/>
      </c>
    </row>
    <row r="1572">
      <c r="A1572" t="n">
        <v>1564</v>
      </c>
      <c r="B1572" t="n">
        <v>0</v>
      </c>
      <c r="C1572" t="n">
        <v>0</v>
      </c>
      <c r="D1572" t="n">
        <v>1770.670986889335</v>
      </c>
      <c r="E1572">
        <f>C1572&lt;0.05</f>
        <v/>
      </c>
      <c r="F1572">
        <f>A1572=$B$5</f>
        <v/>
      </c>
      <c r="G1572">
        <f>IF(E1572,A1572,10^9)</f>
        <v/>
      </c>
      <c r="H1572">
        <f>IF(E1572,D1572,10^9)</f>
        <v/>
      </c>
    </row>
    <row r="1573">
      <c r="A1573" t="n">
        <v>1565</v>
      </c>
      <c r="B1573" t="n">
        <v>0</v>
      </c>
      <c r="C1573" t="n">
        <v>0</v>
      </c>
      <c r="D1573" t="n">
        <v>1771.670986889335</v>
      </c>
      <c r="E1573">
        <f>C1573&lt;0.05</f>
        <v/>
      </c>
      <c r="F1573">
        <f>A1573=$B$5</f>
        <v/>
      </c>
      <c r="G1573">
        <f>IF(E1573,A1573,10^9)</f>
        <v/>
      </c>
      <c r="H1573">
        <f>IF(E1573,D1573,10^9)</f>
        <v/>
      </c>
    </row>
    <row r="1574">
      <c r="A1574" t="n">
        <v>1566</v>
      </c>
      <c r="B1574" t="n">
        <v>0</v>
      </c>
      <c r="C1574" t="n">
        <v>0</v>
      </c>
      <c r="D1574" t="n">
        <v>1772.670986889335</v>
      </c>
      <c r="E1574">
        <f>C1574&lt;0.05</f>
        <v/>
      </c>
      <c r="F1574">
        <f>A1574=$B$5</f>
        <v/>
      </c>
      <c r="G1574">
        <f>IF(E1574,A1574,10^9)</f>
        <v/>
      </c>
      <c r="H1574">
        <f>IF(E1574,D1574,10^9)</f>
        <v/>
      </c>
    </row>
    <row r="1575">
      <c r="A1575" t="n">
        <v>1567</v>
      </c>
      <c r="B1575" t="n">
        <v>0</v>
      </c>
      <c r="C1575" t="n">
        <v>0</v>
      </c>
      <c r="D1575" t="n">
        <v>1773.670986889335</v>
      </c>
      <c r="E1575">
        <f>C1575&lt;0.05</f>
        <v/>
      </c>
      <c r="F1575">
        <f>A1575=$B$5</f>
        <v/>
      </c>
      <c r="G1575">
        <f>IF(E1575,A1575,10^9)</f>
        <v/>
      </c>
      <c r="H1575">
        <f>IF(E1575,D1575,10^9)</f>
        <v/>
      </c>
    </row>
    <row r="1576">
      <c r="A1576" t="n">
        <v>1568</v>
      </c>
      <c r="B1576" t="n">
        <v>0</v>
      </c>
      <c r="C1576" t="n">
        <v>0</v>
      </c>
      <c r="D1576" t="n">
        <v>1774.670986889335</v>
      </c>
      <c r="E1576">
        <f>C1576&lt;0.05</f>
        <v/>
      </c>
      <c r="F1576">
        <f>A1576=$B$5</f>
        <v/>
      </c>
      <c r="G1576">
        <f>IF(E1576,A1576,10^9)</f>
        <v/>
      </c>
      <c r="H1576">
        <f>IF(E1576,D1576,10^9)</f>
        <v/>
      </c>
    </row>
    <row r="1577">
      <c r="A1577" t="n">
        <v>1569</v>
      </c>
      <c r="B1577" t="n">
        <v>0</v>
      </c>
      <c r="C1577" t="n">
        <v>0</v>
      </c>
      <c r="D1577" t="n">
        <v>1775.670986889335</v>
      </c>
      <c r="E1577">
        <f>C1577&lt;0.05</f>
        <v/>
      </c>
      <c r="F1577">
        <f>A1577=$B$5</f>
        <v/>
      </c>
      <c r="G1577">
        <f>IF(E1577,A1577,10^9)</f>
        <v/>
      </c>
      <c r="H1577">
        <f>IF(E1577,D1577,10^9)</f>
        <v/>
      </c>
    </row>
    <row r="1578">
      <c r="A1578" t="n">
        <v>1570</v>
      </c>
      <c r="B1578" t="n">
        <v>0</v>
      </c>
      <c r="C1578" t="n">
        <v>0</v>
      </c>
      <c r="D1578" t="n">
        <v>1776.670986889335</v>
      </c>
      <c r="E1578">
        <f>C1578&lt;0.05</f>
        <v/>
      </c>
      <c r="F1578">
        <f>A1578=$B$5</f>
        <v/>
      </c>
      <c r="G1578">
        <f>IF(E1578,A1578,10^9)</f>
        <v/>
      </c>
      <c r="H1578">
        <f>IF(E1578,D1578,10^9)</f>
        <v/>
      </c>
    </row>
    <row r="1579">
      <c r="A1579" t="n">
        <v>1571</v>
      </c>
      <c r="B1579" t="n">
        <v>0</v>
      </c>
      <c r="C1579" t="n">
        <v>0</v>
      </c>
      <c r="D1579" t="n">
        <v>1777.670986889335</v>
      </c>
      <c r="E1579">
        <f>C1579&lt;0.05</f>
        <v/>
      </c>
      <c r="F1579">
        <f>A1579=$B$5</f>
        <v/>
      </c>
      <c r="G1579">
        <f>IF(E1579,A1579,10^9)</f>
        <v/>
      </c>
      <c r="H1579">
        <f>IF(E1579,D1579,10^9)</f>
        <v/>
      </c>
    </row>
    <row r="1580">
      <c r="A1580" t="n">
        <v>1572</v>
      </c>
      <c r="B1580" t="n">
        <v>0</v>
      </c>
      <c r="C1580" t="n">
        <v>0</v>
      </c>
      <c r="D1580" t="n">
        <v>1778.670986889335</v>
      </c>
      <c r="E1580">
        <f>C1580&lt;0.05</f>
        <v/>
      </c>
      <c r="F1580">
        <f>A1580=$B$5</f>
        <v/>
      </c>
      <c r="G1580">
        <f>IF(E1580,A1580,10^9)</f>
        <v/>
      </c>
      <c r="H1580">
        <f>IF(E1580,D1580,10^9)</f>
        <v/>
      </c>
    </row>
    <row r="1581">
      <c r="A1581" t="n">
        <v>1573</v>
      </c>
      <c r="B1581" t="n">
        <v>0</v>
      </c>
      <c r="C1581" t="n">
        <v>0</v>
      </c>
      <c r="D1581" t="n">
        <v>1779.670986889335</v>
      </c>
      <c r="E1581">
        <f>C1581&lt;0.05</f>
        <v/>
      </c>
      <c r="F1581">
        <f>A1581=$B$5</f>
        <v/>
      </c>
      <c r="G1581">
        <f>IF(E1581,A1581,10^9)</f>
        <v/>
      </c>
      <c r="H1581">
        <f>IF(E1581,D1581,10^9)</f>
        <v/>
      </c>
    </row>
    <row r="1582">
      <c r="A1582" t="n">
        <v>1574</v>
      </c>
      <c r="B1582" t="n">
        <v>0</v>
      </c>
      <c r="C1582" t="n">
        <v>0</v>
      </c>
      <c r="D1582" t="n">
        <v>1780.670986889335</v>
      </c>
      <c r="E1582">
        <f>C1582&lt;0.05</f>
        <v/>
      </c>
      <c r="F1582">
        <f>A1582=$B$5</f>
        <v/>
      </c>
      <c r="G1582">
        <f>IF(E1582,A1582,10^9)</f>
        <v/>
      </c>
      <c r="H1582">
        <f>IF(E1582,D1582,10^9)</f>
        <v/>
      </c>
    </row>
    <row r="1583">
      <c r="A1583" t="n">
        <v>1575</v>
      </c>
      <c r="B1583" t="n">
        <v>0</v>
      </c>
      <c r="C1583" t="n">
        <v>0</v>
      </c>
      <c r="D1583" t="n">
        <v>1781.670986889335</v>
      </c>
      <c r="E1583">
        <f>C1583&lt;0.05</f>
        <v/>
      </c>
      <c r="F1583">
        <f>A1583=$B$5</f>
        <v/>
      </c>
      <c r="G1583">
        <f>IF(E1583,A1583,10^9)</f>
        <v/>
      </c>
      <c r="H1583">
        <f>IF(E1583,D1583,10^9)</f>
        <v/>
      </c>
    </row>
    <row r="1584">
      <c r="A1584" t="n">
        <v>1576</v>
      </c>
      <c r="B1584" t="n">
        <v>0</v>
      </c>
      <c r="C1584" t="n">
        <v>0</v>
      </c>
      <c r="D1584" t="n">
        <v>1782.670986889335</v>
      </c>
      <c r="E1584">
        <f>C1584&lt;0.05</f>
        <v/>
      </c>
      <c r="F1584">
        <f>A1584=$B$5</f>
        <v/>
      </c>
      <c r="G1584">
        <f>IF(E1584,A1584,10^9)</f>
        <v/>
      </c>
      <c r="H1584">
        <f>IF(E1584,D1584,10^9)</f>
        <v/>
      </c>
    </row>
    <row r="1585">
      <c r="A1585" t="n">
        <v>1577</v>
      </c>
      <c r="B1585" t="n">
        <v>0</v>
      </c>
      <c r="C1585" t="n">
        <v>0</v>
      </c>
      <c r="D1585" t="n">
        <v>1783.670986889335</v>
      </c>
      <c r="E1585">
        <f>C1585&lt;0.05</f>
        <v/>
      </c>
      <c r="F1585">
        <f>A1585=$B$5</f>
        <v/>
      </c>
      <c r="G1585">
        <f>IF(E1585,A1585,10^9)</f>
        <v/>
      </c>
      <c r="H1585">
        <f>IF(E1585,D1585,10^9)</f>
        <v/>
      </c>
    </row>
    <row r="1586">
      <c r="A1586" t="n">
        <v>1578</v>
      </c>
      <c r="B1586" t="n">
        <v>0</v>
      </c>
      <c r="C1586" t="n">
        <v>0</v>
      </c>
      <c r="D1586" t="n">
        <v>1784.670986889335</v>
      </c>
      <c r="E1586">
        <f>C1586&lt;0.05</f>
        <v/>
      </c>
      <c r="F1586">
        <f>A1586=$B$5</f>
        <v/>
      </c>
      <c r="G1586">
        <f>IF(E1586,A1586,10^9)</f>
        <v/>
      </c>
      <c r="H1586">
        <f>IF(E1586,D1586,10^9)</f>
        <v/>
      </c>
    </row>
    <row r="1587">
      <c r="A1587" t="n">
        <v>1579</v>
      </c>
      <c r="B1587" t="n">
        <v>0</v>
      </c>
      <c r="C1587" t="n">
        <v>0</v>
      </c>
      <c r="D1587" t="n">
        <v>1785.670986889335</v>
      </c>
      <c r="E1587">
        <f>C1587&lt;0.05</f>
        <v/>
      </c>
      <c r="F1587">
        <f>A1587=$B$5</f>
        <v/>
      </c>
      <c r="G1587">
        <f>IF(E1587,A1587,10^9)</f>
        <v/>
      </c>
      <c r="H1587">
        <f>IF(E1587,D1587,10^9)</f>
        <v/>
      </c>
    </row>
    <row r="1588">
      <c r="A1588" t="n">
        <v>1580</v>
      </c>
      <c r="B1588" t="n">
        <v>0</v>
      </c>
      <c r="C1588" t="n">
        <v>0</v>
      </c>
      <c r="D1588" t="n">
        <v>1786.670986889335</v>
      </c>
      <c r="E1588">
        <f>C1588&lt;0.05</f>
        <v/>
      </c>
      <c r="F1588">
        <f>A1588=$B$5</f>
        <v/>
      </c>
      <c r="G1588">
        <f>IF(E1588,A1588,10^9)</f>
        <v/>
      </c>
      <c r="H1588">
        <f>IF(E1588,D1588,10^9)</f>
        <v/>
      </c>
    </row>
    <row r="1589">
      <c r="A1589" t="n">
        <v>1581</v>
      </c>
      <c r="B1589" t="n">
        <v>0</v>
      </c>
      <c r="C1589" t="n">
        <v>0</v>
      </c>
      <c r="D1589" t="n">
        <v>1787.670986889335</v>
      </c>
      <c r="E1589">
        <f>C1589&lt;0.05</f>
        <v/>
      </c>
      <c r="F1589">
        <f>A1589=$B$5</f>
        <v/>
      </c>
      <c r="G1589">
        <f>IF(E1589,A1589,10^9)</f>
        <v/>
      </c>
      <c r="H1589">
        <f>IF(E1589,D1589,10^9)</f>
        <v/>
      </c>
    </row>
    <row r="1590">
      <c r="A1590" t="n">
        <v>1582</v>
      </c>
      <c r="B1590" t="n">
        <v>0</v>
      </c>
      <c r="C1590" t="n">
        <v>0</v>
      </c>
      <c r="D1590" t="n">
        <v>1788.670986889335</v>
      </c>
      <c r="E1590">
        <f>C1590&lt;0.05</f>
        <v/>
      </c>
      <c r="F1590">
        <f>A1590=$B$5</f>
        <v/>
      </c>
      <c r="G1590">
        <f>IF(E1590,A1590,10^9)</f>
        <v/>
      </c>
      <c r="H1590">
        <f>IF(E1590,D1590,10^9)</f>
        <v/>
      </c>
    </row>
    <row r="1591">
      <c r="A1591" t="n">
        <v>1583</v>
      </c>
      <c r="B1591" t="n">
        <v>0</v>
      </c>
      <c r="C1591" t="n">
        <v>0</v>
      </c>
      <c r="D1591" t="n">
        <v>1789.670986889335</v>
      </c>
      <c r="E1591">
        <f>C1591&lt;0.05</f>
        <v/>
      </c>
      <c r="F1591">
        <f>A1591=$B$5</f>
        <v/>
      </c>
      <c r="G1591">
        <f>IF(E1591,A1591,10^9)</f>
        <v/>
      </c>
      <c r="H1591">
        <f>IF(E1591,D1591,10^9)</f>
        <v/>
      </c>
    </row>
    <row r="1592">
      <c r="A1592" t="n">
        <v>1584</v>
      </c>
      <c r="B1592" t="n">
        <v>0</v>
      </c>
      <c r="C1592" t="n">
        <v>0</v>
      </c>
      <c r="D1592" t="n">
        <v>1790.670986889335</v>
      </c>
      <c r="E1592">
        <f>C1592&lt;0.05</f>
        <v/>
      </c>
      <c r="F1592">
        <f>A1592=$B$5</f>
        <v/>
      </c>
      <c r="G1592">
        <f>IF(E1592,A1592,10^9)</f>
        <v/>
      </c>
      <c r="H1592">
        <f>IF(E1592,D1592,10^9)</f>
        <v/>
      </c>
    </row>
    <row r="1593">
      <c r="A1593" t="n">
        <v>1585</v>
      </c>
      <c r="B1593" t="n">
        <v>0</v>
      </c>
      <c r="C1593" t="n">
        <v>0</v>
      </c>
      <c r="D1593" t="n">
        <v>1791.670986889335</v>
      </c>
      <c r="E1593">
        <f>C1593&lt;0.05</f>
        <v/>
      </c>
      <c r="F1593">
        <f>A1593=$B$5</f>
        <v/>
      </c>
      <c r="G1593">
        <f>IF(E1593,A1593,10^9)</f>
        <v/>
      </c>
      <c r="H1593">
        <f>IF(E1593,D1593,10^9)</f>
        <v/>
      </c>
    </row>
    <row r="1594">
      <c r="A1594" t="n">
        <v>1586</v>
      </c>
      <c r="B1594" t="n">
        <v>0</v>
      </c>
      <c r="C1594" t="n">
        <v>0</v>
      </c>
      <c r="D1594" t="n">
        <v>1792.670986889335</v>
      </c>
      <c r="E1594">
        <f>C1594&lt;0.05</f>
        <v/>
      </c>
      <c r="F1594">
        <f>A1594=$B$5</f>
        <v/>
      </c>
      <c r="G1594">
        <f>IF(E1594,A1594,10^9)</f>
        <v/>
      </c>
      <c r="H1594">
        <f>IF(E1594,D1594,10^9)</f>
        <v/>
      </c>
    </row>
    <row r="1595">
      <c r="A1595" t="n">
        <v>1587</v>
      </c>
      <c r="B1595" t="n">
        <v>0</v>
      </c>
      <c r="C1595" t="n">
        <v>0</v>
      </c>
      <c r="D1595" t="n">
        <v>1793.670986889335</v>
      </c>
      <c r="E1595">
        <f>C1595&lt;0.05</f>
        <v/>
      </c>
      <c r="F1595">
        <f>A1595=$B$5</f>
        <v/>
      </c>
      <c r="G1595">
        <f>IF(E1595,A1595,10^9)</f>
        <v/>
      </c>
      <c r="H1595">
        <f>IF(E1595,D1595,10^9)</f>
        <v/>
      </c>
    </row>
    <row r="1596">
      <c r="A1596" t="n">
        <v>1588</v>
      </c>
      <c r="B1596" t="n">
        <v>0</v>
      </c>
      <c r="C1596" t="n">
        <v>0</v>
      </c>
      <c r="D1596" t="n">
        <v>1794.670986889335</v>
      </c>
      <c r="E1596">
        <f>C1596&lt;0.05</f>
        <v/>
      </c>
      <c r="F1596">
        <f>A1596=$B$5</f>
        <v/>
      </c>
      <c r="G1596">
        <f>IF(E1596,A1596,10^9)</f>
        <v/>
      </c>
      <c r="H1596">
        <f>IF(E1596,D1596,10^9)</f>
        <v/>
      </c>
    </row>
    <row r="1597">
      <c r="A1597" t="n">
        <v>1589</v>
      </c>
      <c r="B1597" t="n">
        <v>0</v>
      </c>
      <c r="C1597" t="n">
        <v>0</v>
      </c>
      <c r="D1597" t="n">
        <v>1795.670986889335</v>
      </c>
      <c r="E1597">
        <f>C1597&lt;0.05</f>
        <v/>
      </c>
      <c r="F1597">
        <f>A1597=$B$5</f>
        <v/>
      </c>
      <c r="G1597">
        <f>IF(E1597,A1597,10^9)</f>
        <v/>
      </c>
      <c r="H1597">
        <f>IF(E1597,D1597,10^9)</f>
        <v/>
      </c>
    </row>
    <row r="1598">
      <c r="A1598" t="n">
        <v>1590</v>
      </c>
      <c r="B1598" t="n">
        <v>0</v>
      </c>
      <c r="C1598" t="n">
        <v>0</v>
      </c>
      <c r="D1598" t="n">
        <v>1796.670986889335</v>
      </c>
      <c r="E1598">
        <f>C1598&lt;0.05</f>
        <v/>
      </c>
      <c r="F1598">
        <f>A1598=$B$5</f>
        <v/>
      </c>
      <c r="G1598">
        <f>IF(E1598,A1598,10^9)</f>
        <v/>
      </c>
      <c r="H1598">
        <f>IF(E1598,D1598,10^9)</f>
        <v/>
      </c>
    </row>
    <row r="1599">
      <c r="A1599" t="n">
        <v>1591</v>
      </c>
      <c r="B1599" t="n">
        <v>0</v>
      </c>
      <c r="C1599" t="n">
        <v>0</v>
      </c>
      <c r="D1599" t="n">
        <v>1797.670986889335</v>
      </c>
      <c r="E1599">
        <f>C1599&lt;0.05</f>
        <v/>
      </c>
      <c r="F1599">
        <f>A1599=$B$5</f>
        <v/>
      </c>
      <c r="G1599">
        <f>IF(E1599,A1599,10^9)</f>
        <v/>
      </c>
      <c r="H1599">
        <f>IF(E1599,D1599,10^9)</f>
        <v/>
      </c>
    </row>
    <row r="1600">
      <c r="A1600" t="n">
        <v>1592</v>
      </c>
      <c r="B1600" t="n">
        <v>0</v>
      </c>
      <c r="C1600" t="n">
        <v>0</v>
      </c>
      <c r="D1600" t="n">
        <v>1798.670986889335</v>
      </c>
      <c r="E1600">
        <f>C1600&lt;0.05</f>
        <v/>
      </c>
      <c r="F1600">
        <f>A1600=$B$5</f>
        <v/>
      </c>
      <c r="G1600">
        <f>IF(E1600,A1600,10^9)</f>
        <v/>
      </c>
      <c r="H1600">
        <f>IF(E1600,D1600,10^9)</f>
        <v/>
      </c>
    </row>
    <row r="1601">
      <c r="A1601" t="n">
        <v>1593</v>
      </c>
      <c r="B1601" t="n">
        <v>0</v>
      </c>
      <c r="C1601" t="n">
        <v>0</v>
      </c>
      <c r="D1601" t="n">
        <v>1799.670986889335</v>
      </c>
      <c r="E1601">
        <f>C1601&lt;0.05</f>
        <v/>
      </c>
      <c r="F1601">
        <f>A1601=$B$5</f>
        <v/>
      </c>
      <c r="G1601">
        <f>IF(E1601,A1601,10^9)</f>
        <v/>
      </c>
      <c r="H1601">
        <f>IF(E1601,D1601,10^9)</f>
        <v/>
      </c>
    </row>
    <row r="1602">
      <c r="A1602" t="n">
        <v>1594</v>
      </c>
      <c r="B1602" t="n">
        <v>0</v>
      </c>
      <c r="C1602" t="n">
        <v>0</v>
      </c>
      <c r="D1602" t="n">
        <v>1800.670986889335</v>
      </c>
      <c r="E1602">
        <f>C1602&lt;0.05</f>
        <v/>
      </c>
      <c r="F1602">
        <f>A1602=$B$5</f>
        <v/>
      </c>
      <c r="G1602">
        <f>IF(E1602,A1602,10^9)</f>
        <v/>
      </c>
      <c r="H1602">
        <f>IF(E1602,D1602,10^9)</f>
        <v/>
      </c>
    </row>
    <row r="1603">
      <c r="A1603" t="n">
        <v>1595</v>
      </c>
      <c r="B1603" t="n">
        <v>0</v>
      </c>
      <c r="C1603" t="n">
        <v>0</v>
      </c>
      <c r="D1603" t="n">
        <v>1801.670986889335</v>
      </c>
      <c r="E1603">
        <f>C1603&lt;0.05</f>
        <v/>
      </c>
      <c r="F1603">
        <f>A1603=$B$5</f>
        <v/>
      </c>
      <c r="G1603">
        <f>IF(E1603,A1603,10^9)</f>
        <v/>
      </c>
      <c r="H1603">
        <f>IF(E1603,D1603,10^9)</f>
        <v/>
      </c>
    </row>
    <row r="1604">
      <c r="A1604" t="n">
        <v>1596</v>
      </c>
      <c r="B1604" t="n">
        <v>0</v>
      </c>
      <c r="C1604" t="n">
        <v>0</v>
      </c>
      <c r="D1604" t="n">
        <v>1802.670986889335</v>
      </c>
      <c r="E1604">
        <f>C1604&lt;0.05</f>
        <v/>
      </c>
      <c r="F1604">
        <f>A1604=$B$5</f>
        <v/>
      </c>
      <c r="G1604">
        <f>IF(E1604,A1604,10^9)</f>
        <v/>
      </c>
      <c r="H1604">
        <f>IF(E1604,D1604,10^9)</f>
        <v/>
      </c>
    </row>
    <row r="1605">
      <c r="A1605" t="n">
        <v>1597</v>
      </c>
      <c r="B1605" t="n">
        <v>0</v>
      </c>
      <c r="C1605" t="n">
        <v>0</v>
      </c>
      <c r="D1605" t="n">
        <v>1803.670986889335</v>
      </c>
      <c r="E1605">
        <f>C1605&lt;0.05</f>
        <v/>
      </c>
      <c r="F1605">
        <f>A1605=$B$5</f>
        <v/>
      </c>
      <c r="G1605">
        <f>IF(E1605,A1605,10^9)</f>
        <v/>
      </c>
      <c r="H1605">
        <f>IF(E1605,D1605,10^9)</f>
        <v/>
      </c>
    </row>
    <row r="1606">
      <c r="A1606" t="n">
        <v>1598</v>
      </c>
      <c r="B1606" t="n">
        <v>0</v>
      </c>
      <c r="C1606" t="n">
        <v>0</v>
      </c>
      <c r="D1606" t="n">
        <v>1804.670986889335</v>
      </c>
      <c r="E1606">
        <f>C1606&lt;0.05</f>
        <v/>
      </c>
      <c r="F1606">
        <f>A1606=$B$5</f>
        <v/>
      </c>
      <c r="G1606">
        <f>IF(E1606,A1606,10^9)</f>
        <v/>
      </c>
      <c r="H1606">
        <f>IF(E1606,D1606,10^9)</f>
        <v/>
      </c>
    </row>
    <row r="1607">
      <c r="A1607" t="n">
        <v>1599</v>
      </c>
      <c r="B1607" t="n">
        <v>0</v>
      </c>
      <c r="C1607" t="n">
        <v>0</v>
      </c>
      <c r="D1607" t="n">
        <v>1805.670986889335</v>
      </c>
      <c r="E1607">
        <f>C1607&lt;0.05</f>
        <v/>
      </c>
      <c r="F1607">
        <f>A1607=$B$5</f>
        <v/>
      </c>
      <c r="G1607">
        <f>IF(E1607,A1607,10^9)</f>
        <v/>
      </c>
      <c r="H1607">
        <f>IF(E1607,D1607,10^9)</f>
        <v/>
      </c>
    </row>
    <row r="1608">
      <c r="A1608" t="n">
        <v>1600</v>
      </c>
      <c r="B1608" t="n">
        <v>0</v>
      </c>
      <c r="C1608" t="n">
        <v>0</v>
      </c>
      <c r="D1608" t="n">
        <v>1806.670986889335</v>
      </c>
      <c r="E1608">
        <f>C1608&lt;0.05</f>
        <v/>
      </c>
      <c r="F1608">
        <f>A1608=$B$5</f>
        <v/>
      </c>
      <c r="G1608">
        <f>IF(E1608,A1608,10^9)</f>
        <v/>
      </c>
      <c r="H1608">
        <f>IF(E1608,D1608,10^9)</f>
        <v/>
      </c>
    </row>
    <row r="1609">
      <c r="A1609" t="n">
        <v>1601</v>
      </c>
      <c r="B1609" t="n">
        <v>0</v>
      </c>
      <c r="C1609" t="n">
        <v>0</v>
      </c>
      <c r="D1609" t="n">
        <v>1807.670986889335</v>
      </c>
      <c r="E1609">
        <f>C1609&lt;0.05</f>
        <v/>
      </c>
      <c r="F1609">
        <f>A1609=$B$5</f>
        <v/>
      </c>
      <c r="G1609">
        <f>IF(E1609,A1609,10^9)</f>
        <v/>
      </c>
      <c r="H1609">
        <f>IF(E1609,D1609,10^9)</f>
        <v/>
      </c>
    </row>
    <row r="1610">
      <c r="A1610" t="n">
        <v>1602</v>
      </c>
      <c r="B1610" t="n">
        <v>0</v>
      </c>
      <c r="C1610" t="n">
        <v>0</v>
      </c>
      <c r="D1610" t="n">
        <v>1808.670986889335</v>
      </c>
      <c r="E1610">
        <f>C1610&lt;0.05</f>
        <v/>
      </c>
      <c r="F1610">
        <f>A1610=$B$5</f>
        <v/>
      </c>
      <c r="G1610">
        <f>IF(E1610,A1610,10^9)</f>
        <v/>
      </c>
      <c r="H1610">
        <f>IF(E1610,D1610,10^9)</f>
        <v/>
      </c>
    </row>
    <row r="1611">
      <c r="A1611" t="n">
        <v>1603</v>
      </c>
      <c r="B1611" t="n">
        <v>0</v>
      </c>
      <c r="C1611" t="n">
        <v>0</v>
      </c>
      <c r="D1611" t="n">
        <v>1809.670986889335</v>
      </c>
      <c r="E1611">
        <f>C1611&lt;0.05</f>
        <v/>
      </c>
      <c r="F1611">
        <f>A1611=$B$5</f>
        <v/>
      </c>
      <c r="G1611">
        <f>IF(E1611,A1611,10^9)</f>
        <v/>
      </c>
      <c r="H1611">
        <f>IF(E1611,D1611,10^9)</f>
        <v/>
      </c>
    </row>
    <row r="1612">
      <c r="A1612" t="n">
        <v>1604</v>
      </c>
      <c r="B1612" t="n">
        <v>0</v>
      </c>
      <c r="C1612" t="n">
        <v>0</v>
      </c>
      <c r="D1612" t="n">
        <v>1810.670986889335</v>
      </c>
      <c r="E1612">
        <f>C1612&lt;0.05</f>
        <v/>
      </c>
      <c r="F1612">
        <f>A1612=$B$5</f>
        <v/>
      </c>
      <c r="G1612">
        <f>IF(E1612,A1612,10^9)</f>
        <v/>
      </c>
      <c r="H1612">
        <f>IF(E1612,D1612,10^9)</f>
        <v/>
      </c>
    </row>
    <row r="1613">
      <c r="A1613" t="n">
        <v>1605</v>
      </c>
      <c r="B1613" t="n">
        <v>0</v>
      </c>
      <c r="C1613" t="n">
        <v>0</v>
      </c>
      <c r="D1613" t="n">
        <v>1811.670986889335</v>
      </c>
      <c r="E1613">
        <f>C1613&lt;0.05</f>
        <v/>
      </c>
      <c r="F1613">
        <f>A1613=$B$5</f>
        <v/>
      </c>
      <c r="G1613">
        <f>IF(E1613,A1613,10^9)</f>
        <v/>
      </c>
      <c r="H1613">
        <f>IF(E1613,D1613,10^9)</f>
        <v/>
      </c>
    </row>
    <row r="1614">
      <c r="A1614" t="n">
        <v>1606</v>
      </c>
      <c r="B1614" t="n">
        <v>0</v>
      </c>
      <c r="C1614" t="n">
        <v>0</v>
      </c>
      <c r="D1614" t="n">
        <v>1812.670986889335</v>
      </c>
      <c r="E1614">
        <f>C1614&lt;0.05</f>
        <v/>
      </c>
      <c r="F1614">
        <f>A1614=$B$5</f>
        <v/>
      </c>
      <c r="G1614">
        <f>IF(E1614,A1614,10^9)</f>
        <v/>
      </c>
      <c r="H1614">
        <f>IF(E1614,D1614,10^9)</f>
        <v/>
      </c>
    </row>
    <row r="1615">
      <c r="A1615" t="n">
        <v>1607</v>
      </c>
      <c r="B1615" t="n">
        <v>0</v>
      </c>
      <c r="C1615" t="n">
        <v>0</v>
      </c>
      <c r="D1615" t="n">
        <v>1813.670986889335</v>
      </c>
      <c r="E1615">
        <f>C1615&lt;0.05</f>
        <v/>
      </c>
      <c r="F1615">
        <f>A1615=$B$5</f>
        <v/>
      </c>
      <c r="G1615">
        <f>IF(E1615,A1615,10^9)</f>
        <v/>
      </c>
      <c r="H1615">
        <f>IF(E1615,D1615,10^9)</f>
        <v/>
      </c>
    </row>
    <row r="1616">
      <c r="A1616" t="n">
        <v>1608</v>
      </c>
      <c r="B1616" t="n">
        <v>0</v>
      </c>
      <c r="C1616" t="n">
        <v>0</v>
      </c>
      <c r="D1616" t="n">
        <v>1814.670986889335</v>
      </c>
      <c r="E1616">
        <f>C1616&lt;0.05</f>
        <v/>
      </c>
      <c r="F1616">
        <f>A1616=$B$5</f>
        <v/>
      </c>
      <c r="G1616">
        <f>IF(E1616,A1616,10^9)</f>
        <v/>
      </c>
      <c r="H1616">
        <f>IF(E1616,D1616,10^9)</f>
        <v/>
      </c>
    </row>
    <row r="1617">
      <c r="A1617" t="n">
        <v>1609</v>
      </c>
      <c r="B1617" t="n">
        <v>0</v>
      </c>
      <c r="C1617" t="n">
        <v>0</v>
      </c>
      <c r="D1617" t="n">
        <v>1815.670986889335</v>
      </c>
      <c r="E1617">
        <f>C1617&lt;0.05</f>
        <v/>
      </c>
      <c r="F1617">
        <f>A1617=$B$5</f>
        <v/>
      </c>
      <c r="G1617">
        <f>IF(E1617,A1617,10^9)</f>
        <v/>
      </c>
      <c r="H1617">
        <f>IF(E1617,D1617,10^9)</f>
        <v/>
      </c>
    </row>
    <row r="1618">
      <c r="A1618" t="n">
        <v>1610</v>
      </c>
      <c r="B1618" t="n">
        <v>0</v>
      </c>
      <c r="C1618" t="n">
        <v>0</v>
      </c>
      <c r="D1618" t="n">
        <v>1816.670986889335</v>
      </c>
      <c r="E1618">
        <f>C1618&lt;0.05</f>
        <v/>
      </c>
      <c r="F1618">
        <f>A1618=$B$5</f>
        <v/>
      </c>
      <c r="G1618">
        <f>IF(E1618,A1618,10^9)</f>
        <v/>
      </c>
      <c r="H1618">
        <f>IF(E1618,D1618,10^9)</f>
        <v/>
      </c>
    </row>
    <row r="1619">
      <c r="A1619" t="n">
        <v>1611</v>
      </c>
      <c r="B1619" t="n">
        <v>0</v>
      </c>
      <c r="C1619" t="n">
        <v>0</v>
      </c>
      <c r="D1619" t="n">
        <v>1817.670986889335</v>
      </c>
      <c r="E1619">
        <f>C1619&lt;0.05</f>
        <v/>
      </c>
      <c r="F1619">
        <f>A1619=$B$5</f>
        <v/>
      </c>
      <c r="G1619">
        <f>IF(E1619,A1619,10^9)</f>
        <v/>
      </c>
      <c r="H1619">
        <f>IF(E1619,D1619,10^9)</f>
        <v/>
      </c>
    </row>
    <row r="1620">
      <c r="A1620" t="n">
        <v>1612</v>
      </c>
      <c r="B1620" t="n">
        <v>0</v>
      </c>
      <c r="C1620" t="n">
        <v>0</v>
      </c>
      <c r="D1620" t="n">
        <v>1818.670986889335</v>
      </c>
      <c r="E1620">
        <f>C1620&lt;0.05</f>
        <v/>
      </c>
      <c r="F1620">
        <f>A1620=$B$5</f>
        <v/>
      </c>
      <c r="G1620">
        <f>IF(E1620,A1620,10^9)</f>
        <v/>
      </c>
      <c r="H1620">
        <f>IF(E1620,D1620,10^9)</f>
        <v/>
      </c>
    </row>
    <row r="1621">
      <c r="A1621" t="n">
        <v>1613</v>
      </c>
      <c r="B1621" t="n">
        <v>0</v>
      </c>
      <c r="C1621" t="n">
        <v>0</v>
      </c>
      <c r="D1621" t="n">
        <v>1819.670986889335</v>
      </c>
      <c r="E1621">
        <f>C1621&lt;0.05</f>
        <v/>
      </c>
      <c r="F1621">
        <f>A1621=$B$5</f>
        <v/>
      </c>
      <c r="G1621">
        <f>IF(E1621,A1621,10^9)</f>
        <v/>
      </c>
      <c r="H1621">
        <f>IF(E1621,D1621,10^9)</f>
        <v/>
      </c>
    </row>
    <row r="1622">
      <c r="A1622" t="n">
        <v>1614</v>
      </c>
      <c r="B1622" t="n">
        <v>0</v>
      </c>
      <c r="C1622" t="n">
        <v>0</v>
      </c>
      <c r="D1622" t="n">
        <v>1820.670986889335</v>
      </c>
      <c r="E1622">
        <f>C1622&lt;0.05</f>
        <v/>
      </c>
      <c r="F1622">
        <f>A1622=$B$5</f>
        <v/>
      </c>
      <c r="G1622">
        <f>IF(E1622,A1622,10^9)</f>
        <v/>
      </c>
      <c r="H1622">
        <f>IF(E1622,D1622,10^9)</f>
        <v/>
      </c>
    </row>
    <row r="1623">
      <c r="A1623" t="n">
        <v>1615</v>
      </c>
      <c r="B1623" t="n">
        <v>0</v>
      </c>
      <c r="C1623" t="n">
        <v>0</v>
      </c>
      <c r="D1623" t="n">
        <v>1821.670986889335</v>
      </c>
      <c r="E1623">
        <f>C1623&lt;0.05</f>
        <v/>
      </c>
      <c r="F1623">
        <f>A1623=$B$5</f>
        <v/>
      </c>
      <c r="G1623">
        <f>IF(E1623,A1623,10^9)</f>
        <v/>
      </c>
      <c r="H1623">
        <f>IF(E1623,D1623,10^9)</f>
        <v/>
      </c>
    </row>
    <row r="1624">
      <c r="A1624" t="n">
        <v>1616</v>
      </c>
      <c r="B1624" t="n">
        <v>0</v>
      </c>
      <c r="C1624" t="n">
        <v>0</v>
      </c>
      <c r="D1624" t="n">
        <v>1822.670986889335</v>
      </c>
      <c r="E1624">
        <f>C1624&lt;0.05</f>
        <v/>
      </c>
      <c r="F1624">
        <f>A1624=$B$5</f>
        <v/>
      </c>
      <c r="G1624">
        <f>IF(E1624,A1624,10^9)</f>
        <v/>
      </c>
      <c r="H1624">
        <f>IF(E1624,D1624,10^9)</f>
        <v/>
      </c>
    </row>
    <row r="1625">
      <c r="A1625" t="n">
        <v>1617</v>
      </c>
      <c r="B1625" t="n">
        <v>0</v>
      </c>
      <c r="C1625" t="n">
        <v>0</v>
      </c>
      <c r="D1625" t="n">
        <v>1823.670986889335</v>
      </c>
      <c r="E1625">
        <f>C1625&lt;0.05</f>
        <v/>
      </c>
      <c r="F1625">
        <f>A1625=$B$5</f>
        <v/>
      </c>
      <c r="G1625">
        <f>IF(E1625,A1625,10^9)</f>
        <v/>
      </c>
      <c r="H1625">
        <f>IF(E1625,D1625,10^9)</f>
        <v/>
      </c>
    </row>
    <row r="1626">
      <c r="A1626" t="n">
        <v>1618</v>
      </c>
      <c r="B1626" t="n">
        <v>0</v>
      </c>
      <c r="C1626" t="n">
        <v>0</v>
      </c>
      <c r="D1626" t="n">
        <v>1824.670986889335</v>
      </c>
      <c r="E1626">
        <f>C1626&lt;0.05</f>
        <v/>
      </c>
      <c r="F1626">
        <f>A1626=$B$5</f>
        <v/>
      </c>
      <c r="G1626">
        <f>IF(E1626,A1626,10^9)</f>
        <v/>
      </c>
      <c r="H1626">
        <f>IF(E1626,D1626,10^9)</f>
        <v/>
      </c>
    </row>
    <row r="1627">
      <c r="A1627" t="n">
        <v>1619</v>
      </c>
      <c r="B1627" t="n">
        <v>0</v>
      </c>
      <c r="C1627" t="n">
        <v>0</v>
      </c>
      <c r="D1627" t="n">
        <v>1825.670986889335</v>
      </c>
      <c r="E1627">
        <f>C1627&lt;0.05</f>
        <v/>
      </c>
      <c r="F1627">
        <f>A1627=$B$5</f>
        <v/>
      </c>
      <c r="G1627">
        <f>IF(E1627,A1627,10^9)</f>
        <v/>
      </c>
      <c r="H1627">
        <f>IF(E1627,D1627,10^9)</f>
        <v/>
      </c>
    </row>
    <row r="1628">
      <c r="A1628" t="n">
        <v>1620</v>
      </c>
      <c r="B1628" t="n">
        <v>0</v>
      </c>
      <c r="C1628" t="n">
        <v>0</v>
      </c>
      <c r="D1628" t="n">
        <v>1826.670986889335</v>
      </c>
      <c r="E1628">
        <f>C1628&lt;0.05</f>
        <v/>
      </c>
      <c r="F1628">
        <f>A1628=$B$5</f>
        <v/>
      </c>
      <c r="G1628">
        <f>IF(E1628,A1628,10^9)</f>
        <v/>
      </c>
      <c r="H1628">
        <f>IF(E1628,D1628,10^9)</f>
        <v/>
      </c>
    </row>
    <row r="1629">
      <c r="A1629" t="n">
        <v>1621</v>
      </c>
      <c r="B1629" t="n">
        <v>0</v>
      </c>
      <c r="C1629" t="n">
        <v>0</v>
      </c>
      <c r="D1629" t="n">
        <v>1827.670986889335</v>
      </c>
      <c r="E1629">
        <f>C1629&lt;0.05</f>
        <v/>
      </c>
      <c r="F1629">
        <f>A1629=$B$5</f>
        <v/>
      </c>
      <c r="G1629">
        <f>IF(E1629,A1629,10^9)</f>
        <v/>
      </c>
      <c r="H1629">
        <f>IF(E1629,D1629,10^9)</f>
        <v/>
      </c>
    </row>
    <row r="1630">
      <c r="A1630" t="n">
        <v>1622</v>
      </c>
      <c r="B1630" t="n">
        <v>0</v>
      </c>
      <c r="C1630" t="n">
        <v>0</v>
      </c>
      <c r="D1630" t="n">
        <v>1828.670986889335</v>
      </c>
      <c r="E1630">
        <f>C1630&lt;0.05</f>
        <v/>
      </c>
      <c r="F1630">
        <f>A1630=$B$5</f>
        <v/>
      </c>
      <c r="G1630">
        <f>IF(E1630,A1630,10^9)</f>
        <v/>
      </c>
      <c r="H1630">
        <f>IF(E1630,D1630,10^9)</f>
        <v/>
      </c>
    </row>
    <row r="1631">
      <c r="A1631" t="n">
        <v>1623</v>
      </c>
      <c r="B1631" t="n">
        <v>0</v>
      </c>
      <c r="C1631" t="n">
        <v>0</v>
      </c>
      <c r="D1631" t="n">
        <v>1829.670986889335</v>
      </c>
      <c r="E1631">
        <f>C1631&lt;0.05</f>
        <v/>
      </c>
      <c r="F1631">
        <f>A1631=$B$5</f>
        <v/>
      </c>
      <c r="G1631">
        <f>IF(E1631,A1631,10^9)</f>
        <v/>
      </c>
      <c r="H1631">
        <f>IF(E1631,D1631,10^9)</f>
        <v/>
      </c>
    </row>
    <row r="1632">
      <c r="A1632" t="n">
        <v>1624</v>
      </c>
      <c r="B1632" t="n">
        <v>0</v>
      </c>
      <c r="C1632" t="n">
        <v>0</v>
      </c>
      <c r="D1632" t="n">
        <v>1830.670986889335</v>
      </c>
      <c r="E1632">
        <f>C1632&lt;0.05</f>
        <v/>
      </c>
      <c r="F1632">
        <f>A1632=$B$5</f>
        <v/>
      </c>
      <c r="G1632">
        <f>IF(E1632,A1632,10^9)</f>
        <v/>
      </c>
      <c r="H1632">
        <f>IF(E1632,D1632,10^9)</f>
        <v/>
      </c>
    </row>
    <row r="1633">
      <c r="A1633" t="n">
        <v>1625</v>
      </c>
      <c r="B1633" t="n">
        <v>0</v>
      </c>
      <c r="C1633" t="n">
        <v>0</v>
      </c>
      <c r="D1633" t="n">
        <v>1831.670986889335</v>
      </c>
      <c r="E1633">
        <f>C1633&lt;0.05</f>
        <v/>
      </c>
      <c r="F1633">
        <f>A1633=$B$5</f>
        <v/>
      </c>
      <c r="G1633">
        <f>IF(E1633,A1633,10^9)</f>
        <v/>
      </c>
      <c r="H1633">
        <f>IF(E1633,D1633,10^9)</f>
        <v/>
      </c>
    </row>
    <row r="1634">
      <c r="A1634" t="n">
        <v>1626</v>
      </c>
      <c r="B1634" t="n">
        <v>0</v>
      </c>
      <c r="C1634" t="n">
        <v>0</v>
      </c>
      <c r="D1634" t="n">
        <v>1832.670986889335</v>
      </c>
      <c r="E1634">
        <f>C1634&lt;0.05</f>
        <v/>
      </c>
      <c r="F1634">
        <f>A1634=$B$5</f>
        <v/>
      </c>
      <c r="G1634">
        <f>IF(E1634,A1634,10^9)</f>
        <v/>
      </c>
      <c r="H1634">
        <f>IF(E1634,D1634,10^9)</f>
        <v/>
      </c>
    </row>
    <row r="1635">
      <c r="A1635" t="n">
        <v>1627</v>
      </c>
      <c r="B1635" t="n">
        <v>0</v>
      </c>
      <c r="C1635" t="n">
        <v>0</v>
      </c>
      <c r="D1635" t="n">
        <v>1833.670986889335</v>
      </c>
      <c r="E1635">
        <f>C1635&lt;0.05</f>
        <v/>
      </c>
      <c r="F1635">
        <f>A1635=$B$5</f>
        <v/>
      </c>
      <c r="G1635">
        <f>IF(E1635,A1635,10^9)</f>
        <v/>
      </c>
      <c r="H1635">
        <f>IF(E1635,D1635,10^9)</f>
        <v/>
      </c>
    </row>
    <row r="1636">
      <c r="A1636" t="n">
        <v>1628</v>
      </c>
      <c r="B1636" t="n">
        <v>0</v>
      </c>
      <c r="C1636" t="n">
        <v>0</v>
      </c>
      <c r="D1636" t="n">
        <v>1834.670986889335</v>
      </c>
      <c r="E1636">
        <f>C1636&lt;0.05</f>
        <v/>
      </c>
      <c r="F1636">
        <f>A1636=$B$5</f>
        <v/>
      </c>
      <c r="G1636">
        <f>IF(E1636,A1636,10^9)</f>
        <v/>
      </c>
      <c r="H1636">
        <f>IF(E1636,D1636,10^9)</f>
        <v/>
      </c>
    </row>
    <row r="1637">
      <c r="A1637" t="n">
        <v>1629</v>
      </c>
      <c r="B1637" t="n">
        <v>0</v>
      </c>
      <c r="C1637" t="n">
        <v>0</v>
      </c>
      <c r="D1637" t="n">
        <v>1835.670986889335</v>
      </c>
      <c r="E1637">
        <f>C1637&lt;0.05</f>
        <v/>
      </c>
      <c r="F1637">
        <f>A1637=$B$5</f>
        <v/>
      </c>
      <c r="G1637">
        <f>IF(E1637,A1637,10^9)</f>
        <v/>
      </c>
      <c r="H1637">
        <f>IF(E1637,D1637,10^9)</f>
        <v/>
      </c>
    </row>
    <row r="1638">
      <c r="A1638" t="n">
        <v>1630</v>
      </c>
      <c r="B1638" t="n">
        <v>0</v>
      </c>
      <c r="C1638" t="n">
        <v>0</v>
      </c>
      <c r="D1638" t="n">
        <v>1836.670986889335</v>
      </c>
      <c r="E1638">
        <f>C1638&lt;0.05</f>
        <v/>
      </c>
      <c r="F1638">
        <f>A1638=$B$5</f>
        <v/>
      </c>
      <c r="G1638">
        <f>IF(E1638,A1638,10^9)</f>
        <v/>
      </c>
      <c r="H1638">
        <f>IF(E1638,D1638,10^9)</f>
        <v/>
      </c>
    </row>
    <row r="1639">
      <c r="A1639" t="n">
        <v>1631</v>
      </c>
      <c r="B1639" t="n">
        <v>0</v>
      </c>
      <c r="C1639" t="n">
        <v>0</v>
      </c>
      <c r="D1639" t="n">
        <v>1837.670986889335</v>
      </c>
      <c r="E1639">
        <f>C1639&lt;0.05</f>
        <v/>
      </c>
      <c r="F1639">
        <f>A1639=$B$5</f>
        <v/>
      </c>
      <c r="G1639">
        <f>IF(E1639,A1639,10^9)</f>
        <v/>
      </c>
      <c r="H1639">
        <f>IF(E1639,D1639,10^9)</f>
        <v/>
      </c>
    </row>
    <row r="1640">
      <c r="A1640" t="n">
        <v>1632</v>
      </c>
      <c r="B1640" t="n">
        <v>0</v>
      </c>
      <c r="C1640" t="n">
        <v>0</v>
      </c>
      <c r="D1640" t="n">
        <v>1838.670986889335</v>
      </c>
      <c r="E1640">
        <f>C1640&lt;0.05</f>
        <v/>
      </c>
      <c r="F1640">
        <f>A1640=$B$5</f>
        <v/>
      </c>
      <c r="G1640">
        <f>IF(E1640,A1640,10^9)</f>
        <v/>
      </c>
      <c r="H1640">
        <f>IF(E1640,D1640,10^9)</f>
        <v/>
      </c>
    </row>
    <row r="1641">
      <c r="A1641" t="n">
        <v>1633</v>
      </c>
      <c r="B1641" t="n">
        <v>0</v>
      </c>
      <c r="C1641" t="n">
        <v>0</v>
      </c>
      <c r="D1641" t="n">
        <v>1839.670986889335</v>
      </c>
      <c r="E1641">
        <f>C1641&lt;0.05</f>
        <v/>
      </c>
      <c r="F1641">
        <f>A1641=$B$5</f>
        <v/>
      </c>
      <c r="G1641">
        <f>IF(E1641,A1641,10^9)</f>
        <v/>
      </c>
      <c r="H1641">
        <f>IF(E1641,D1641,10^9)</f>
        <v/>
      </c>
    </row>
    <row r="1642">
      <c r="A1642" t="n">
        <v>1634</v>
      </c>
      <c r="B1642" t="n">
        <v>0</v>
      </c>
      <c r="C1642" t="n">
        <v>0</v>
      </c>
      <c r="D1642" t="n">
        <v>1840.670986889335</v>
      </c>
      <c r="E1642">
        <f>C1642&lt;0.05</f>
        <v/>
      </c>
      <c r="F1642">
        <f>A1642=$B$5</f>
        <v/>
      </c>
      <c r="G1642">
        <f>IF(E1642,A1642,10^9)</f>
        <v/>
      </c>
      <c r="H1642">
        <f>IF(E1642,D1642,10^9)</f>
        <v/>
      </c>
    </row>
    <row r="1643">
      <c r="A1643" t="n">
        <v>1635</v>
      </c>
      <c r="B1643" t="n">
        <v>0</v>
      </c>
      <c r="C1643" t="n">
        <v>0</v>
      </c>
      <c r="D1643" t="n">
        <v>1841.670986889335</v>
      </c>
      <c r="E1643">
        <f>C1643&lt;0.05</f>
        <v/>
      </c>
      <c r="F1643">
        <f>A1643=$B$5</f>
        <v/>
      </c>
      <c r="G1643">
        <f>IF(E1643,A1643,10^9)</f>
        <v/>
      </c>
      <c r="H1643">
        <f>IF(E1643,D1643,10^9)</f>
        <v/>
      </c>
    </row>
    <row r="1644">
      <c r="A1644" t="n">
        <v>1636</v>
      </c>
      <c r="B1644" t="n">
        <v>0</v>
      </c>
      <c r="C1644" t="n">
        <v>0</v>
      </c>
      <c r="D1644" t="n">
        <v>1842.670986889335</v>
      </c>
      <c r="E1644">
        <f>C1644&lt;0.05</f>
        <v/>
      </c>
      <c r="F1644">
        <f>A1644=$B$5</f>
        <v/>
      </c>
      <c r="G1644">
        <f>IF(E1644,A1644,10^9)</f>
        <v/>
      </c>
      <c r="H1644">
        <f>IF(E1644,D1644,10^9)</f>
        <v/>
      </c>
    </row>
    <row r="1645">
      <c r="A1645" t="n">
        <v>1637</v>
      </c>
      <c r="B1645" t="n">
        <v>0</v>
      </c>
      <c r="C1645" t="n">
        <v>0</v>
      </c>
      <c r="D1645" t="n">
        <v>1843.670986889335</v>
      </c>
      <c r="E1645">
        <f>C1645&lt;0.05</f>
        <v/>
      </c>
      <c r="F1645">
        <f>A1645=$B$5</f>
        <v/>
      </c>
      <c r="G1645">
        <f>IF(E1645,A1645,10^9)</f>
        <v/>
      </c>
      <c r="H1645">
        <f>IF(E1645,D1645,10^9)</f>
        <v/>
      </c>
    </row>
    <row r="1646">
      <c r="A1646" t="n">
        <v>1638</v>
      </c>
      <c r="B1646" t="n">
        <v>0</v>
      </c>
      <c r="C1646" t="n">
        <v>0</v>
      </c>
      <c r="D1646" t="n">
        <v>1844.670986889335</v>
      </c>
      <c r="E1646">
        <f>C1646&lt;0.05</f>
        <v/>
      </c>
      <c r="F1646">
        <f>A1646=$B$5</f>
        <v/>
      </c>
      <c r="G1646">
        <f>IF(E1646,A1646,10^9)</f>
        <v/>
      </c>
      <c r="H1646">
        <f>IF(E1646,D1646,10^9)</f>
        <v/>
      </c>
    </row>
    <row r="1647">
      <c r="A1647" t="n">
        <v>1639</v>
      </c>
      <c r="B1647" t="n">
        <v>0</v>
      </c>
      <c r="C1647" t="n">
        <v>0</v>
      </c>
      <c r="D1647" t="n">
        <v>1845.670986889335</v>
      </c>
      <c r="E1647">
        <f>C1647&lt;0.05</f>
        <v/>
      </c>
      <c r="F1647">
        <f>A1647=$B$5</f>
        <v/>
      </c>
      <c r="G1647">
        <f>IF(E1647,A1647,10^9)</f>
        <v/>
      </c>
      <c r="H1647">
        <f>IF(E1647,D1647,10^9)</f>
        <v/>
      </c>
    </row>
    <row r="1648">
      <c r="A1648" t="n">
        <v>1640</v>
      </c>
      <c r="B1648" t="n">
        <v>0</v>
      </c>
      <c r="C1648" t="n">
        <v>0</v>
      </c>
      <c r="D1648" t="n">
        <v>1846.670986889335</v>
      </c>
      <c r="E1648">
        <f>C1648&lt;0.05</f>
        <v/>
      </c>
      <c r="F1648">
        <f>A1648=$B$5</f>
        <v/>
      </c>
      <c r="G1648">
        <f>IF(E1648,A1648,10^9)</f>
        <v/>
      </c>
      <c r="H1648">
        <f>IF(E1648,D1648,10^9)</f>
        <v/>
      </c>
    </row>
    <row r="1649">
      <c r="A1649" t="n">
        <v>1641</v>
      </c>
      <c r="B1649" t="n">
        <v>0</v>
      </c>
      <c r="C1649" t="n">
        <v>0</v>
      </c>
      <c r="D1649" t="n">
        <v>1847.670986889335</v>
      </c>
      <c r="E1649">
        <f>C1649&lt;0.05</f>
        <v/>
      </c>
      <c r="F1649">
        <f>A1649=$B$5</f>
        <v/>
      </c>
      <c r="G1649">
        <f>IF(E1649,A1649,10^9)</f>
        <v/>
      </c>
      <c r="H1649">
        <f>IF(E1649,D1649,10^9)</f>
        <v/>
      </c>
    </row>
    <row r="1650">
      <c r="A1650" t="n">
        <v>1642</v>
      </c>
      <c r="B1650" t="n">
        <v>0</v>
      </c>
      <c r="C1650" t="n">
        <v>0</v>
      </c>
      <c r="D1650" t="n">
        <v>1848.670986889335</v>
      </c>
      <c r="E1650">
        <f>C1650&lt;0.05</f>
        <v/>
      </c>
      <c r="F1650">
        <f>A1650=$B$5</f>
        <v/>
      </c>
      <c r="G1650">
        <f>IF(E1650,A1650,10^9)</f>
        <v/>
      </c>
      <c r="H1650">
        <f>IF(E1650,D1650,10^9)</f>
        <v/>
      </c>
    </row>
    <row r="1651">
      <c r="A1651" t="n">
        <v>1643</v>
      </c>
      <c r="B1651" t="n">
        <v>0</v>
      </c>
      <c r="C1651" t="n">
        <v>0</v>
      </c>
      <c r="D1651" t="n">
        <v>1849.670986889335</v>
      </c>
      <c r="E1651">
        <f>C1651&lt;0.05</f>
        <v/>
      </c>
      <c r="F1651">
        <f>A1651=$B$5</f>
        <v/>
      </c>
      <c r="G1651">
        <f>IF(E1651,A1651,10^9)</f>
        <v/>
      </c>
      <c r="H1651">
        <f>IF(E1651,D1651,10^9)</f>
        <v/>
      </c>
    </row>
    <row r="1652">
      <c r="A1652" t="n">
        <v>1644</v>
      </c>
      <c r="B1652" t="n">
        <v>0</v>
      </c>
      <c r="C1652" t="n">
        <v>0</v>
      </c>
      <c r="D1652" t="n">
        <v>1850.670986889335</v>
      </c>
      <c r="E1652">
        <f>C1652&lt;0.05</f>
        <v/>
      </c>
      <c r="F1652">
        <f>A1652=$B$5</f>
        <v/>
      </c>
      <c r="G1652">
        <f>IF(E1652,A1652,10^9)</f>
        <v/>
      </c>
      <c r="H1652">
        <f>IF(E1652,D1652,10^9)</f>
        <v/>
      </c>
    </row>
    <row r="1653">
      <c r="A1653" t="n">
        <v>1645</v>
      </c>
      <c r="B1653" t="n">
        <v>0</v>
      </c>
      <c r="C1653" t="n">
        <v>0</v>
      </c>
      <c r="D1653" t="n">
        <v>1851.670986889335</v>
      </c>
      <c r="E1653">
        <f>C1653&lt;0.05</f>
        <v/>
      </c>
      <c r="F1653">
        <f>A1653=$B$5</f>
        <v/>
      </c>
      <c r="G1653">
        <f>IF(E1653,A1653,10^9)</f>
        <v/>
      </c>
      <c r="H1653">
        <f>IF(E1653,D1653,10^9)</f>
        <v/>
      </c>
    </row>
    <row r="1654">
      <c r="A1654" t="n">
        <v>1646</v>
      </c>
      <c r="B1654" t="n">
        <v>0</v>
      </c>
      <c r="C1654" t="n">
        <v>0</v>
      </c>
      <c r="D1654" t="n">
        <v>1852.670986889335</v>
      </c>
      <c r="E1654">
        <f>C1654&lt;0.05</f>
        <v/>
      </c>
      <c r="F1654">
        <f>A1654=$B$5</f>
        <v/>
      </c>
      <c r="G1654">
        <f>IF(E1654,A1654,10^9)</f>
        <v/>
      </c>
      <c r="H1654">
        <f>IF(E1654,D1654,10^9)</f>
        <v/>
      </c>
    </row>
    <row r="1655">
      <c r="A1655" t="n">
        <v>1647</v>
      </c>
      <c r="B1655" t="n">
        <v>0</v>
      </c>
      <c r="C1655" t="n">
        <v>0</v>
      </c>
      <c r="D1655" t="n">
        <v>1853.670986889335</v>
      </c>
      <c r="E1655">
        <f>C1655&lt;0.05</f>
        <v/>
      </c>
      <c r="F1655">
        <f>A1655=$B$5</f>
        <v/>
      </c>
      <c r="G1655">
        <f>IF(E1655,A1655,10^9)</f>
        <v/>
      </c>
      <c r="H1655">
        <f>IF(E1655,D1655,10^9)</f>
        <v/>
      </c>
    </row>
    <row r="1656">
      <c r="A1656" t="n">
        <v>1648</v>
      </c>
      <c r="B1656" t="n">
        <v>0</v>
      </c>
      <c r="C1656" t="n">
        <v>0</v>
      </c>
      <c r="D1656" t="n">
        <v>1854.670986889335</v>
      </c>
      <c r="E1656">
        <f>C1656&lt;0.05</f>
        <v/>
      </c>
      <c r="F1656">
        <f>A1656=$B$5</f>
        <v/>
      </c>
      <c r="G1656">
        <f>IF(E1656,A1656,10^9)</f>
        <v/>
      </c>
      <c r="H1656">
        <f>IF(E1656,D1656,10^9)</f>
        <v/>
      </c>
    </row>
    <row r="1657">
      <c r="A1657" t="n">
        <v>1649</v>
      </c>
      <c r="B1657" t="n">
        <v>0</v>
      </c>
      <c r="C1657" t="n">
        <v>0</v>
      </c>
      <c r="D1657" t="n">
        <v>1855.670986889335</v>
      </c>
      <c r="E1657">
        <f>C1657&lt;0.05</f>
        <v/>
      </c>
      <c r="F1657">
        <f>A1657=$B$5</f>
        <v/>
      </c>
      <c r="G1657">
        <f>IF(E1657,A1657,10^9)</f>
        <v/>
      </c>
      <c r="H1657">
        <f>IF(E1657,D1657,10^9)</f>
        <v/>
      </c>
    </row>
    <row r="1658">
      <c r="A1658" t="n">
        <v>1650</v>
      </c>
      <c r="B1658" t="n">
        <v>0</v>
      </c>
      <c r="C1658" t="n">
        <v>0</v>
      </c>
      <c r="D1658" t="n">
        <v>1856.670986889335</v>
      </c>
      <c r="E1658">
        <f>C1658&lt;0.05</f>
        <v/>
      </c>
      <c r="F1658">
        <f>A1658=$B$5</f>
        <v/>
      </c>
      <c r="G1658">
        <f>IF(E1658,A1658,10^9)</f>
        <v/>
      </c>
      <c r="H1658">
        <f>IF(E1658,D1658,10^9)</f>
        <v/>
      </c>
    </row>
    <row r="1659">
      <c r="A1659" t="n">
        <v>1651</v>
      </c>
      <c r="B1659" t="n">
        <v>0</v>
      </c>
      <c r="C1659" t="n">
        <v>0</v>
      </c>
      <c r="D1659" t="n">
        <v>1857.670986889335</v>
      </c>
      <c r="E1659">
        <f>C1659&lt;0.05</f>
        <v/>
      </c>
      <c r="F1659">
        <f>A1659=$B$5</f>
        <v/>
      </c>
      <c r="G1659">
        <f>IF(E1659,A1659,10^9)</f>
        <v/>
      </c>
      <c r="H1659">
        <f>IF(E1659,D1659,10^9)</f>
        <v/>
      </c>
    </row>
    <row r="1660">
      <c r="A1660" t="n">
        <v>1652</v>
      </c>
      <c r="B1660" t="n">
        <v>0</v>
      </c>
      <c r="C1660" t="n">
        <v>0</v>
      </c>
      <c r="D1660" t="n">
        <v>1858.670986889335</v>
      </c>
      <c r="E1660">
        <f>C1660&lt;0.05</f>
        <v/>
      </c>
      <c r="F1660">
        <f>A1660=$B$5</f>
        <v/>
      </c>
      <c r="G1660">
        <f>IF(E1660,A1660,10^9)</f>
        <v/>
      </c>
      <c r="H1660">
        <f>IF(E1660,D1660,10^9)</f>
        <v/>
      </c>
    </row>
    <row r="1661">
      <c r="A1661" t="n">
        <v>1653</v>
      </c>
      <c r="B1661" t="n">
        <v>0</v>
      </c>
      <c r="C1661" t="n">
        <v>0</v>
      </c>
      <c r="D1661" t="n">
        <v>1859.670986889335</v>
      </c>
      <c r="E1661">
        <f>C1661&lt;0.05</f>
        <v/>
      </c>
      <c r="F1661">
        <f>A1661=$B$5</f>
        <v/>
      </c>
      <c r="G1661">
        <f>IF(E1661,A1661,10^9)</f>
        <v/>
      </c>
      <c r="H1661">
        <f>IF(E1661,D1661,10^9)</f>
        <v/>
      </c>
    </row>
    <row r="1662">
      <c r="A1662" t="n">
        <v>1654</v>
      </c>
      <c r="B1662" t="n">
        <v>0</v>
      </c>
      <c r="C1662" t="n">
        <v>0</v>
      </c>
      <c r="D1662" t="n">
        <v>1860.670986889335</v>
      </c>
      <c r="E1662">
        <f>C1662&lt;0.05</f>
        <v/>
      </c>
      <c r="F1662">
        <f>A1662=$B$5</f>
        <v/>
      </c>
      <c r="G1662">
        <f>IF(E1662,A1662,10^9)</f>
        <v/>
      </c>
      <c r="H1662">
        <f>IF(E1662,D1662,10^9)</f>
        <v/>
      </c>
    </row>
    <row r="1663">
      <c r="A1663" t="n">
        <v>1655</v>
      </c>
      <c r="B1663" t="n">
        <v>0</v>
      </c>
      <c r="C1663" t="n">
        <v>0</v>
      </c>
      <c r="D1663" t="n">
        <v>1861.670986889335</v>
      </c>
      <c r="E1663">
        <f>C1663&lt;0.05</f>
        <v/>
      </c>
      <c r="F1663">
        <f>A1663=$B$5</f>
        <v/>
      </c>
      <c r="G1663">
        <f>IF(E1663,A1663,10^9)</f>
        <v/>
      </c>
      <c r="H1663">
        <f>IF(E1663,D1663,10^9)</f>
        <v/>
      </c>
    </row>
    <row r="1664">
      <c r="A1664" t="n">
        <v>1656</v>
      </c>
      <c r="B1664" t="n">
        <v>0</v>
      </c>
      <c r="C1664" t="n">
        <v>0</v>
      </c>
      <c r="D1664" t="n">
        <v>1862.670986889335</v>
      </c>
      <c r="E1664">
        <f>C1664&lt;0.05</f>
        <v/>
      </c>
      <c r="F1664">
        <f>A1664=$B$5</f>
        <v/>
      </c>
      <c r="G1664">
        <f>IF(E1664,A1664,10^9)</f>
        <v/>
      </c>
      <c r="H1664">
        <f>IF(E1664,D1664,10^9)</f>
        <v/>
      </c>
    </row>
    <row r="1665">
      <c r="A1665" t="n">
        <v>1657</v>
      </c>
      <c r="B1665" t="n">
        <v>0</v>
      </c>
      <c r="C1665" t="n">
        <v>0</v>
      </c>
      <c r="D1665" t="n">
        <v>1863.670986889335</v>
      </c>
      <c r="E1665">
        <f>C1665&lt;0.05</f>
        <v/>
      </c>
      <c r="F1665">
        <f>A1665=$B$5</f>
        <v/>
      </c>
      <c r="G1665">
        <f>IF(E1665,A1665,10^9)</f>
        <v/>
      </c>
      <c r="H1665">
        <f>IF(E1665,D1665,10^9)</f>
        <v/>
      </c>
    </row>
    <row r="1666">
      <c r="A1666" t="n">
        <v>1658</v>
      </c>
      <c r="B1666" t="n">
        <v>0</v>
      </c>
      <c r="C1666" t="n">
        <v>0</v>
      </c>
      <c r="D1666" t="n">
        <v>1864.670986889335</v>
      </c>
      <c r="E1666">
        <f>C1666&lt;0.05</f>
        <v/>
      </c>
      <c r="F1666">
        <f>A1666=$B$5</f>
        <v/>
      </c>
      <c r="G1666">
        <f>IF(E1666,A1666,10^9)</f>
        <v/>
      </c>
      <c r="H1666">
        <f>IF(E1666,D1666,10^9)</f>
        <v/>
      </c>
    </row>
    <row r="1667">
      <c r="A1667" t="n">
        <v>1659</v>
      </c>
      <c r="B1667" t="n">
        <v>0</v>
      </c>
      <c r="C1667" t="n">
        <v>0</v>
      </c>
      <c r="D1667" t="n">
        <v>1865.670986889335</v>
      </c>
      <c r="E1667">
        <f>C1667&lt;0.05</f>
        <v/>
      </c>
      <c r="F1667">
        <f>A1667=$B$5</f>
        <v/>
      </c>
      <c r="G1667">
        <f>IF(E1667,A1667,10^9)</f>
        <v/>
      </c>
      <c r="H1667">
        <f>IF(E1667,D1667,10^9)</f>
        <v/>
      </c>
    </row>
    <row r="1668">
      <c r="A1668" t="n">
        <v>1660</v>
      </c>
      <c r="B1668" t="n">
        <v>0</v>
      </c>
      <c r="C1668" t="n">
        <v>0</v>
      </c>
      <c r="D1668" t="n">
        <v>1866.670986889335</v>
      </c>
      <c r="E1668">
        <f>C1668&lt;0.05</f>
        <v/>
      </c>
      <c r="F1668">
        <f>A1668=$B$5</f>
        <v/>
      </c>
      <c r="G1668">
        <f>IF(E1668,A1668,10^9)</f>
        <v/>
      </c>
      <c r="H1668">
        <f>IF(E1668,D1668,10^9)</f>
        <v/>
      </c>
    </row>
    <row r="1669">
      <c r="A1669" t="n">
        <v>1661</v>
      </c>
      <c r="B1669" t="n">
        <v>0</v>
      </c>
      <c r="C1669" t="n">
        <v>0</v>
      </c>
      <c r="D1669" t="n">
        <v>1867.670986889335</v>
      </c>
      <c r="E1669">
        <f>C1669&lt;0.05</f>
        <v/>
      </c>
      <c r="F1669">
        <f>A1669=$B$5</f>
        <v/>
      </c>
      <c r="G1669">
        <f>IF(E1669,A1669,10^9)</f>
        <v/>
      </c>
      <c r="H1669">
        <f>IF(E1669,D1669,10^9)</f>
        <v/>
      </c>
    </row>
    <row r="1670">
      <c r="A1670" t="n">
        <v>1662</v>
      </c>
      <c r="B1670" t="n">
        <v>0</v>
      </c>
      <c r="C1670" t="n">
        <v>0</v>
      </c>
      <c r="D1670" t="n">
        <v>1868.670986889335</v>
      </c>
      <c r="E1670">
        <f>C1670&lt;0.05</f>
        <v/>
      </c>
      <c r="F1670">
        <f>A1670=$B$5</f>
        <v/>
      </c>
      <c r="G1670">
        <f>IF(E1670,A1670,10^9)</f>
        <v/>
      </c>
      <c r="H1670">
        <f>IF(E1670,D1670,10^9)</f>
        <v/>
      </c>
    </row>
    <row r="1671">
      <c r="A1671" t="n">
        <v>1663</v>
      </c>
      <c r="B1671" t="n">
        <v>0</v>
      </c>
      <c r="C1671" t="n">
        <v>0</v>
      </c>
      <c r="D1671" t="n">
        <v>1869.670986889335</v>
      </c>
      <c r="E1671">
        <f>C1671&lt;0.05</f>
        <v/>
      </c>
      <c r="F1671">
        <f>A1671=$B$5</f>
        <v/>
      </c>
      <c r="G1671">
        <f>IF(E1671,A1671,10^9)</f>
        <v/>
      </c>
      <c r="H1671">
        <f>IF(E1671,D1671,10^9)</f>
        <v/>
      </c>
    </row>
    <row r="1672">
      <c r="A1672" t="n">
        <v>1664</v>
      </c>
      <c r="B1672" t="n">
        <v>0</v>
      </c>
      <c r="C1672" t="n">
        <v>0</v>
      </c>
      <c r="D1672" t="n">
        <v>1870.670986889335</v>
      </c>
      <c r="E1672">
        <f>C1672&lt;0.05</f>
        <v/>
      </c>
      <c r="F1672">
        <f>A1672=$B$5</f>
        <v/>
      </c>
      <c r="G1672">
        <f>IF(E1672,A1672,10^9)</f>
        <v/>
      </c>
      <c r="H1672">
        <f>IF(E1672,D1672,10^9)</f>
        <v/>
      </c>
    </row>
    <row r="1673">
      <c r="A1673" t="n">
        <v>1665</v>
      </c>
      <c r="B1673" t="n">
        <v>0</v>
      </c>
      <c r="C1673" t="n">
        <v>0</v>
      </c>
      <c r="D1673" t="n">
        <v>1871.670986889335</v>
      </c>
      <c r="E1673">
        <f>C1673&lt;0.05</f>
        <v/>
      </c>
      <c r="F1673">
        <f>A1673=$B$5</f>
        <v/>
      </c>
      <c r="G1673">
        <f>IF(E1673,A1673,10^9)</f>
        <v/>
      </c>
      <c r="H1673">
        <f>IF(E1673,D1673,10^9)</f>
        <v/>
      </c>
    </row>
    <row r="1674">
      <c r="A1674" t="n">
        <v>1666</v>
      </c>
      <c r="B1674" t="n">
        <v>0</v>
      </c>
      <c r="C1674" t="n">
        <v>0</v>
      </c>
      <c r="D1674" t="n">
        <v>1872.670986889335</v>
      </c>
      <c r="E1674">
        <f>C1674&lt;0.05</f>
        <v/>
      </c>
      <c r="F1674">
        <f>A1674=$B$5</f>
        <v/>
      </c>
      <c r="G1674">
        <f>IF(E1674,A1674,10^9)</f>
        <v/>
      </c>
      <c r="H1674">
        <f>IF(E1674,D1674,10^9)</f>
        <v/>
      </c>
    </row>
    <row r="1675">
      <c r="A1675" t="n">
        <v>1667</v>
      </c>
      <c r="B1675" t="n">
        <v>0</v>
      </c>
      <c r="C1675" t="n">
        <v>0</v>
      </c>
      <c r="D1675" t="n">
        <v>1873.670986889335</v>
      </c>
      <c r="E1675">
        <f>C1675&lt;0.05</f>
        <v/>
      </c>
      <c r="F1675">
        <f>A1675=$B$5</f>
        <v/>
      </c>
      <c r="G1675">
        <f>IF(E1675,A1675,10^9)</f>
        <v/>
      </c>
      <c r="H1675">
        <f>IF(E1675,D1675,10^9)</f>
        <v/>
      </c>
    </row>
    <row r="1676">
      <c r="A1676" t="n">
        <v>1668</v>
      </c>
      <c r="B1676" t="n">
        <v>0</v>
      </c>
      <c r="C1676" t="n">
        <v>0</v>
      </c>
      <c r="D1676" t="n">
        <v>1874.670986889335</v>
      </c>
      <c r="E1676">
        <f>C1676&lt;0.05</f>
        <v/>
      </c>
      <c r="F1676">
        <f>A1676=$B$5</f>
        <v/>
      </c>
      <c r="G1676">
        <f>IF(E1676,A1676,10^9)</f>
        <v/>
      </c>
      <c r="H1676">
        <f>IF(E1676,D1676,10^9)</f>
        <v/>
      </c>
    </row>
    <row r="1677">
      <c r="A1677" t="n">
        <v>1669</v>
      </c>
      <c r="B1677" t="n">
        <v>0</v>
      </c>
      <c r="C1677" t="n">
        <v>0</v>
      </c>
      <c r="D1677" t="n">
        <v>1875.670986889335</v>
      </c>
      <c r="E1677">
        <f>C1677&lt;0.05</f>
        <v/>
      </c>
      <c r="F1677">
        <f>A1677=$B$5</f>
        <v/>
      </c>
      <c r="G1677">
        <f>IF(E1677,A1677,10^9)</f>
        <v/>
      </c>
      <c r="H1677">
        <f>IF(E1677,D1677,10^9)</f>
        <v/>
      </c>
    </row>
    <row r="1678">
      <c r="A1678" t="n">
        <v>1670</v>
      </c>
      <c r="B1678" t="n">
        <v>0</v>
      </c>
      <c r="C1678" t="n">
        <v>0</v>
      </c>
      <c r="D1678" t="n">
        <v>1876.670986889335</v>
      </c>
      <c r="E1678">
        <f>C1678&lt;0.05</f>
        <v/>
      </c>
      <c r="F1678">
        <f>A1678=$B$5</f>
        <v/>
      </c>
      <c r="G1678">
        <f>IF(E1678,A1678,10^9)</f>
        <v/>
      </c>
      <c r="H1678">
        <f>IF(E1678,D1678,10^9)</f>
        <v/>
      </c>
    </row>
    <row r="1679">
      <c r="A1679" t="n">
        <v>1671</v>
      </c>
      <c r="B1679" t="n">
        <v>0</v>
      </c>
      <c r="C1679" t="n">
        <v>0</v>
      </c>
      <c r="D1679" t="n">
        <v>1877.670986889335</v>
      </c>
      <c r="E1679">
        <f>C1679&lt;0.05</f>
        <v/>
      </c>
      <c r="F1679">
        <f>A1679=$B$5</f>
        <v/>
      </c>
      <c r="G1679">
        <f>IF(E1679,A1679,10^9)</f>
        <v/>
      </c>
      <c r="H1679">
        <f>IF(E1679,D1679,10^9)</f>
        <v/>
      </c>
    </row>
    <row r="1680">
      <c r="A1680" t="n">
        <v>1672</v>
      </c>
      <c r="B1680" t="n">
        <v>0</v>
      </c>
      <c r="C1680" t="n">
        <v>0</v>
      </c>
      <c r="D1680" t="n">
        <v>1878.670986889335</v>
      </c>
      <c r="E1680">
        <f>C1680&lt;0.05</f>
        <v/>
      </c>
      <c r="F1680">
        <f>A1680=$B$5</f>
        <v/>
      </c>
      <c r="G1680">
        <f>IF(E1680,A1680,10^9)</f>
        <v/>
      </c>
      <c r="H1680">
        <f>IF(E1680,D1680,10^9)</f>
        <v/>
      </c>
    </row>
    <row r="1681">
      <c r="A1681" t="n">
        <v>1673</v>
      </c>
      <c r="B1681" t="n">
        <v>0</v>
      </c>
      <c r="C1681" t="n">
        <v>0</v>
      </c>
      <c r="D1681" t="n">
        <v>1879.670986889335</v>
      </c>
      <c r="E1681">
        <f>C1681&lt;0.05</f>
        <v/>
      </c>
      <c r="F1681">
        <f>A1681=$B$5</f>
        <v/>
      </c>
      <c r="G1681">
        <f>IF(E1681,A1681,10^9)</f>
        <v/>
      </c>
      <c r="H1681">
        <f>IF(E1681,D1681,10^9)</f>
        <v/>
      </c>
    </row>
    <row r="1682">
      <c r="A1682" t="n">
        <v>1674</v>
      </c>
      <c r="B1682" t="n">
        <v>0</v>
      </c>
      <c r="C1682" t="n">
        <v>0</v>
      </c>
      <c r="D1682" t="n">
        <v>1880.670986889335</v>
      </c>
      <c r="E1682">
        <f>C1682&lt;0.05</f>
        <v/>
      </c>
      <c r="F1682">
        <f>A1682=$B$5</f>
        <v/>
      </c>
      <c r="G1682">
        <f>IF(E1682,A1682,10^9)</f>
        <v/>
      </c>
      <c r="H1682">
        <f>IF(E1682,D1682,10^9)</f>
        <v/>
      </c>
    </row>
    <row r="1683">
      <c r="A1683" t="n">
        <v>1675</v>
      </c>
      <c r="B1683" t="n">
        <v>0</v>
      </c>
      <c r="C1683" t="n">
        <v>0</v>
      </c>
      <c r="D1683" t="n">
        <v>1881.670986889335</v>
      </c>
      <c r="E1683">
        <f>C1683&lt;0.05</f>
        <v/>
      </c>
      <c r="F1683">
        <f>A1683=$B$5</f>
        <v/>
      </c>
      <c r="G1683">
        <f>IF(E1683,A1683,10^9)</f>
        <v/>
      </c>
      <c r="H1683">
        <f>IF(E1683,D1683,10^9)</f>
        <v/>
      </c>
    </row>
    <row r="1684">
      <c r="A1684" t="n">
        <v>1676</v>
      </c>
      <c r="B1684" t="n">
        <v>0</v>
      </c>
      <c r="C1684" t="n">
        <v>0</v>
      </c>
      <c r="D1684" t="n">
        <v>1882.670986889335</v>
      </c>
      <c r="E1684">
        <f>C1684&lt;0.05</f>
        <v/>
      </c>
      <c r="F1684">
        <f>A1684=$B$5</f>
        <v/>
      </c>
      <c r="G1684">
        <f>IF(E1684,A1684,10^9)</f>
        <v/>
      </c>
      <c r="H1684">
        <f>IF(E1684,D1684,10^9)</f>
        <v/>
      </c>
    </row>
    <row r="1685">
      <c r="A1685" t="n">
        <v>1677</v>
      </c>
      <c r="B1685" t="n">
        <v>0</v>
      </c>
      <c r="C1685" t="n">
        <v>0</v>
      </c>
      <c r="D1685" t="n">
        <v>1883.670986889335</v>
      </c>
      <c r="E1685">
        <f>C1685&lt;0.05</f>
        <v/>
      </c>
      <c r="F1685">
        <f>A1685=$B$5</f>
        <v/>
      </c>
      <c r="G1685">
        <f>IF(E1685,A1685,10^9)</f>
        <v/>
      </c>
      <c r="H1685">
        <f>IF(E1685,D1685,10^9)</f>
        <v/>
      </c>
    </row>
    <row r="1686">
      <c r="A1686" t="n">
        <v>1678</v>
      </c>
      <c r="B1686" t="n">
        <v>0</v>
      </c>
      <c r="C1686" t="n">
        <v>0</v>
      </c>
      <c r="D1686" t="n">
        <v>1884.670986889335</v>
      </c>
      <c r="E1686">
        <f>C1686&lt;0.05</f>
        <v/>
      </c>
      <c r="F1686">
        <f>A1686=$B$5</f>
        <v/>
      </c>
      <c r="G1686">
        <f>IF(E1686,A1686,10^9)</f>
        <v/>
      </c>
      <c r="H1686">
        <f>IF(E1686,D1686,10^9)</f>
        <v/>
      </c>
    </row>
    <row r="1687">
      <c r="A1687" t="n">
        <v>1679</v>
      </c>
      <c r="B1687" t="n">
        <v>0</v>
      </c>
      <c r="C1687" t="n">
        <v>0</v>
      </c>
      <c r="D1687" t="n">
        <v>1885.670986889335</v>
      </c>
      <c r="E1687">
        <f>C1687&lt;0.05</f>
        <v/>
      </c>
      <c r="F1687">
        <f>A1687=$B$5</f>
        <v/>
      </c>
      <c r="G1687">
        <f>IF(E1687,A1687,10^9)</f>
        <v/>
      </c>
      <c r="H1687">
        <f>IF(E1687,D1687,10^9)</f>
        <v/>
      </c>
    </row>
    <row r="1688">
      <c r="A1688" t="n">
        <v>1680</v>
      </c>
      <c r="B1688" t="n">
        <v>0</v>
      </c>
      <c r="C1688" t="n">
        <v>0</v>
      </c>
      <c r="D1688" t="n">
        <v>1886.670986889335</v>
      </c>
      <c r="E1688">
        <f>C1688&lt;0.05</f>
        <v/>
      </c>
      <c r="F1688">
        <f>A1688=$B$5</f>
        <v/>
      </c>
      <c r="G1688">
        <f>IF(E1688,A1688,10^9)</f>
        <v/>
      </c>
      <c r="H1688">
        <f>IF(E1688,D1688,10^9)</f>
        <v/>
      </c>
    </row>
    <row r="1689">
      <c r="A1689" t="n">
        <v>1681</v>
      </c>
      <c r="B1689" t="n">
        <v>0</v>
      </c>
      <c r="C1689" t="n">
        <v>0</v>
      </c>
      <c r="D1689" t="n">
        <v>1887.670986889335</v>
      </c>
      <c r="E1689">
        <f>C1689&lt;0.05</f>
        <v/>
      </c>
      <c r="F1689">
        <f>A1689=$B$5</f>
        <v/>
      </c>
      <c r="G1689">
        <f>IF(E1689,A1689,10^9)</f>
        <v/>
      </c>
      <c r="H1689">
        <f>IF(E1689,D1689,10^9)</f>
        <v/>
      </c>
    </row>
    <row r="1690">
      <c r="A1690" t="n">
        <v>1682</v>
      </c>
      <c r="B1690" t="n">
        <v>0</v>
      </c>
      <c r="C1690" t="n">
        <v>0</v>
      </c>
      <c r="D1690" t="n">
        <v>1888.670986889335</v>
      </c>
      <c r="E1690">
        <f>C1690&lt;0.05</f>
        <v/>
      </c>
      <c r="F1690">
        <f>A1690=$B$5</f>
        <v/>
      </c>
      <c r="G1690">
        <f>IF(E1690,A1690,10^9)</f>
        <v/>
      </c>
      <c r="H1690">
        <f>IF(E1690,D1690,10^9)</f>
        <v/>
      </c>
    </row>
    <row r="1691">
      <c r="A1691" t="n">
        <v>1683</v>
      </c>
      <c r="B1691" t="n">
        <v>0</v>
      </c>
      <c r="C1691" t="n">
        <v>0</v>
      </c>
      <c r="D1691" t="n">
        <v>1889.670986889335</v>
      </c>
      <c r="E1691">
        <f>C1691&lt;0.05</f>
        <v/>
      </c>
      <c r="F1691">
        <f>A1691=$B$5</f>
        <v/>
      </c>
      <c r="G1691">
        <f>IF(E1691,A1691,10^9)</f>
        <v/>
      </c>
      <c r="H1691">
        <f>IF(E1691,D1691,10^9)</f>
        <v/>
      </c>
    </row>
    <row r="1692">
      <c r="A1692" t="n">
        <v>1684</v>
      </c>
      <c r="B1692" t="n">
        <v>0</v>
      </c>
      <c r="C1692" t="n">
        <v>0</v>
      </c>
      <c r="D1692" t="n">
        <v>1890.670986889335</v>
      </c>
      <c r="E1692">
        <f>C1692&lt;0.05</f>
        <v/>
      </c>
      <c r="F1692">
        <f>A1692=$B$5</f>
        <v/>
      </c>
      <c r="G1692">
        <f>IF(E1692,A1692,10^9)</f>
        <v/>
      </c>
      <c r="H1692">
        <f>IF(E1692,D1692,10^9)</f>
        <v/>
      </c>
    </row>
    <row r="1693">
      <c r="A1693" t="n">
        <v>1685</v>
      </c>
      <c r="B1693" t="n">
        <v>0</v>
      </c>
      <c r="C1693" t="n">
        <v>0</v>
      </c>
      <c r="D1693" t="n">
        <v>1891.670986889335</v>
      </c>
      <c r="E1693">
        <f>C1693&lt;0.05</f>
        <v/>
      </c>
      <c r="F1693">
        <f>A1693=$B$5</f>
        <v/>
      </c>
      <c r="G1693">
        <f>IF(E1693,A1693,10^9)</f>
        <v/>
      </c>
      <c r="H1693">
        <f>IF(E1693,D1693,10^9)</f>
        <v/>
      </c>
    </row>
    <row r="1694">
      <c r="A1694" t="n">
        <v>1686</v>
      </c>
      <c r="B1694" t="n">
        <v>0</v>
      </c>
      <c r="C1694" t="n">
        <v>0</v>
      </c>
      <c r="D1694" t="n">
        <v>1892.670986889335</v>
      </c>
      <c r="E1694">
        <f>C1694&lt;0.05</f>
        <v/>
      </c>
      <c r="F1694">
        <f>A1694=$B$5</f>
        <v/>
      </c>
      <c r="G1694">
        <f>IF(E1694,A1694,10^9)</f>
        <v/>
      </c>
      <c r="H1694">
        <f>IF(E1694,D1694,10^9)</f>
        <v/>
      </c>
    </row>
    <row r="1695">
      <c r="A1695" t="n">
        <v>1687</v>
      </c>
      <c r="B1695" t="n">
        <v>0</v>
      </c>
      <c r="C1695" t="n">
        <v>0</v>
      </c>
      <c r="D1695" t="n">
        <v>1893.670986889335</v>
      </c>
      <c r="E1695">
        <f>C1695&lt;0.05</f>
        <v/>
      </c>
      <c r="F1695">
        <f>A1695=$B$5</f>
        <v/>
      </c>
      <c r="G1695">
        <f>IF(E1695,A1695,10^9)</f>
        <v/>
      </c>
      <c r="H1695">
        <f>IF(E1695,D1695,10^9)</f>
        <v/>
      </c>
    </row>
    <row r="1696">
      <c r="A1696" t="n">
        <v>1688</v>
      </c>
      <c r="B1696" t="n">
        <v>0</v>
      </c>
      <c r="C1696" t="n">
        <v>0</v>
      </c>
      <c r="D1696" t="n">
        <v>1894.670986889335</v>
      </c>
      <c r="E1696">
        <f>C1696&lt;0.05</f>
        <v/>
      </c>
      <c r="F1696">
        <f>A1696=$B$5</f>
        <v/>
      </c>
      <c r="G1696">
        <f>IF(E1696,A1696,10^9)</f>
        <v/>
      </c>
      <c r="H1696">
        <f>IF(E1696,D1696,10^9)</f>
        <v/>
      </c>
    </row>
    <row r="1697">
      <c r="A1697" t="n">
        <v>1689</v>
      </c>
      <c r="B1697" t="n">
        <v>0</v>
      </c>
      <c r="C1697" t="n">
        <v>0</v>
      </c>
      <c r="D1697" t="n">
        <v>1895.670986889335</v>
      </c>
      <c r="E1697">
        <f>C1697&lt;0.05</f>
        <v/>
      </c>
      <c r="F1697">
        <f>A1697=$B$5</f>
        <v/>
      </c>
      <c r="G1697">
        <f>IF(E1697,A1697,10^9)</f>
        <v/>
      </c>
      <c r="H1697">
        <f>IF(E1697,D1697,10^9)</f>
        <v/>
      </c>
    </row>
    <row r="1698">
      <c r="A1698" t="n">
        <v>1690</v>
      </c>
      <c r="B1698" t="n">
        <v>0</v>
      </c>
      <c r="C1698" t="n">
        <v>0</v>
      </c>
      <c r="D1698" t="n">
        <v>1896.670986889335</v>
      </c>
      <c r="E1698">
        <f>C1698&lt;0.05</f>
        <v/>
      </c>
      <c r="F1698">
        <f>A1698=$B$5</f>
        <v/>
      </c>
      <c r="G1698">
        <f>IF(E1698,A1698,10^9)</f>
        <v/>
      </c>
      <c r="H1698">
        <f>IF(E1698,D1698,10^9)</f>
        <v/>
      </c>
    </row>
    <row r="1699">
      <c r="A1699" t="n">
        <v>1691</v>
      </c>
      <c r="B1699" t="n">
        <v>0</v>
      </c>
      <c r="C1699" t="n">
        <v>0</v>
      </c>
      <c r="D1699" t="n">
        <v>1897.670986889335</v>
      </c>
      <c r="E1699">
        <f>C1699&lt;0.05</f>
        <v/>
      </c>
      <c r="F1699">
        <f>A1699=$B$5</f>
        <v/>
      </c>
      <c r="G1699">
        <f>IF(E1699,A1699,10^9)</f>
        <v/>
      </c>
      <c r="H1699">
        <f>IF(E1699,D1699,10^9)</f>
        <v/>
      </c>
    </row>
    <row r="1700">
      <c r="A1700" t="n">
        <v>1692</v>
      </c>
      <c r="B1700" t="n">
        <v>0</v>
      </c>
      <c r="C1700" t="n">
        <v>0</v>
      </c>
      <c r="D1700" t="n">
        <v>1898.670986889335</v>
      </c>
      <c r="E1700">
        <f>C1700&lt;0.05</f>
        <v/>
      </c>
      <c r="F1700">
        <f>A1700=$B$5</f>
        <v/>
      </c>
      <c r="G1700">
        <f>IF(E1700,A1700,10^9)</f>
        <v/>
      </c>
      <c r="H1700">
        <f>IF(E1700,D1700,10^9)</f>
        <v/>
      </c>
    </row>
    <row r="1701">
      <c r="A1701" t="n">
        <v>1693</v>
      </c>
      <c r="B1701" t="n">
        <v>0</v>
      </c>
      <c r="C1701" t="n">
        <v>0</v>
      </c>
      <c r="D1701" t="n">
        <v>1899.670986889335</v>
      </c>
      <c r="E1701">
        <f>C1701&lt;0.05</f>
        <v/>
      </c>
      <c r="F1701">
        <f>A1701=$B$5</f>
        <v/>
      </c>
      <c r="G1701">
        <f>IF(E1701,A1701,10^9)</f>
        <v/>
      </c>
      <c r="H1701">
        <f>IF(E1701,D1701,10^9)</f>
        <v/>
      </c>
    </row>
    <row r="1702">
      <c r="A1702" t="n">
        <v>1694</v>
      </c>
      <c r="B1702" t="n">
        <v>0</v>
      </c>
      <c r="C1702" t="n">
        <v>0</v>
      </c>
      <c r="D1702" t="n">
        <v>1900.670986889335</v>
      </c>
      <c r="E1702">
        <f>C1702&lt;0.05</f>
        <v/>
      </c>
      <c r="F1702">
        <f>A1702=$B$5</f>
        <v/>
      </c>
      <c r="G1702">
        <f>IF(E1702,A1702,10^9)</f>
        <v/>
      </c>
      <c r="H1702">
        <f>IF(E1702,D1702,10^9)</f>
        <v/>
      </c>
    </row>
    <row r="1703">
      <c r="A1703" t="n">
        <v>1695</v>
      </c>
      <c r="B1703" t="n">
        <v>0</v>
      </c>
      <c r="C1703" t="n">
        <v>0</v>
      </c>
      <c r="D1703" t="n">
        <v>1901.670986889335</v>
      </c>
      <c r="E1703">
        <f>C1703&lt;0.05</f>
        <v/>
      </c>
      <c r="F1703">
        <f>A1703=$B$5</f>
        <v/>
      </c>
      <c r="G1703">
        <f>IF(E1703,A1703,10^9)</f>
        <v/>
      </c>
      <c r="H1703">
        <f>IF(E1703,D1703,10^9)</f>
        <v/>
      </c>
    </row>
    <row r="1704">
      <c r="A1704" t="n">
        <v>1696</v>
      </c>
      <c r="B1704" t="n">
        <v>0</v>
      </c>
      <c r="C1704" t="n">
        <v>0</v>
      </c>
      <c r="D1704" t="n">
        <v>1902.670986889335</v>
      </c>
      <c r="E1704">
        <f>C1704&lt;0.05</f>
        <v/>
      </c>
      <c r="F1704">
        <f>A1704=$B$5</f>
        <v/>
      </c>
      <c r="G1704">
        <f>IF(E1704,A1704,10^9)</f>
        <v/>
      </c>
      <c r="H1704">
        <f>IF(E1704,D1704,10^9)</f>
        <v/>
      </c>
    </row>
    <row r="1705">
      <c r="A1705" t="n">
        <v>1697</v>
      </c>
      <c r="B1705" t="n">
        <v>0</v>
      </c>
      <c r="C1705" t="n">
        <v>0</v>
      </c>
      <c r="D1705" t="n">
        <v>1903.670986889335</v>
      </c>
      <c r="E1705">
        <f>C1705&lt;0.05</f>
        <v/>
      </c>
      <c r="F1705">
        <f>A1705=$B$5</f>
        <v/>
      </c>
      <c r="G1705">
        <f>IF(E1705,A1705,10^9)</f>
        <v/>
      </c>
      <c r="H1705">
        <f>IF(E1705,D1705,10^9)</f>
        <v/>
      </c>
    </row>
    <row r="1706">
      <c r="A1706" t="n">
        <v>1698</v>
      </c>
      <c r="B1706" t="n">
        <v>0</v>
      </c>
      <c r="C1706" t="n">
        <v>0</v>
      </c>
      <c r="D1706" t="n">
        <v>1904.670986889335</v>
      </c>
      <c r="E1706">
        <f>C1706&lt;0.05</f>
        <v/>
      </c>
      <c r="F1706">
        <f>A1706=$B$5</f>
        <v/>
      </c>
      <c r="G1706">
        <f>IF(E1706,A1706,10^9)</f>
        <v/>
      </c>
      <c r="H1706">
        <f>IF(E1706,D1706,10^9)</f>
        <v/>
      </c>
    </row>
    <row r="1707">
      <c r="A1707" t="n">
        <v>1699</v>
      </c>
      <c r="B1707" t="n">
        <v>0</v>
      </c>
      <c r="C1707" t="n">
        <v>0</v>
      </c>
      <c r="D1707" t="n">
        <v>1905.670986889335</v>
      </c>
      <c r="E1707">
        <f>C1707&lt;0.05</f>
        <v/>
      </c>
      <c r="F1707">
        <f>A1707=$B$5</f>
        <v/>
      </c>
      <c r="G1707">
        <f>IF(E1707,A1707,10^9)</f>
        <v/>
      </c>
      <c r="H1707">
        <f>IF(E1707,D1707,10^9)</f>
        <v/>
      </c>
    </row>
    <row r="1708">
      <c r="A1708" t="n">
        <v>1700</v>
      </c>
      <c r="B1708" t="n">
        <v>0</v>
      </c>
      <c r="C1708" t="n">
        <v>0</v>
      </c>
      <c r="D1708" t="n">
        <v>1906.670986889335</v>
      </c>
      <c r="E1708">
        <f>C1708&lt;0.05</f>
        <v/>
      </c>
      <c r="F1708">
        <f>A1708=$B$5</f>
        <v/>
      </c>
      <c r="G1708">
        <f>IF(E1708,A1708,10^9)</f>
        <v/>
      </c>
      <c r="H1708">
        <f>IF(E1708,D1708,10^9)</f>
        <v/>
      </c>
    </row>
    <row r="1709">
      <c r="A1709" t="n">
        <v>1701</v>
      </c>
      <c r="B1709" t="n">
        <v>0</v>
      </c>
      <c r="C1709" t="n">
        <v>0</v>
      </c>
      <c r="D1709" t="n">
        <v>1907.670986889335</v>
      </c>
      <c r="E1709">
        <f>C1709&lt;0.05</f>
        <v/>
      </c>
      <c r="F1709">
        <f>A1709=$B$5</f>
        <v/>
      </c>
      <c r="G1709">
        <f>IF(E1709,A1709,10^9)</f>
        <v/>
      </c>
      <c r="H1709">
        <f>IF(E1709,D1709,10^9)</f>
        <v/>
      </c>
    </row>
    <row r="1710">
      <c r="A1710" t="n">
        <v>1702</v>
      </c>
      <c r="B1710" t="n">
        <v>0</v>
      </c>
      <c r="C1710" t="n">
        <v>0</v>
      </c>
      <c r="D1710" t="n">
        <v>1908.670986889335</v>
      </c>
      <c r="E1710">
        <f>C1710&lt;0.05</f>
        <v/>
      </c>
      <c r="F1710">
        <f>A1710=$B$5</f>
        <v/>
      </c>
      <c r="G1710">
        <f>IF(E1710,A1710,10^9)</f>
        <v/>
      </c>
      <c r="H1710">
        <f>IF(E1710,D1710,10^9)</f>
        <v/>
      </c>
    </row>
    <row r="1711">
      <c r="A1711" t="n">
        <v>1703</v>
      </c>
      <c r="B1711" t="n">
        <v>0</v>
      </c>
      <c r="C1711" t="n">
        <v>0</v>
      </c>
      <c r="D1711" t="n">
        <v>1909.670986889335</v>
      </c>
      <c r="E1711">
        <f>C1711&lt;0.05</f>
        <v/>
      </c>
      <c r="F1711">
        <f>A1711=$B$5</f>
        <v/>
      </c>
      <c r="G1711">
        <f>IF(E1711,A1711,10^9)</f>
        <v/>
      </c>
      <c r="H1711">
        <f>IF(E1711,D1711,10^9)</f>
        <v/>
      </c>
    </row>
    <row r="1712">
      <c r="A1712" t="n">
        <v>1704</v>
      </c>
      <c r="B1712" t="n">
        <v>0</v>
      </c>
      <c r="C1712" t="n">
        <v>0</v>
      </c>
      <c r="D1712" t="n">
        <v>1910.670986889335</v>
      </c>
      <c r="E1712">
        <f>C1712&lt;0.05</f>
        <v/>
      </c>
      <c r="F1712">
        <f>A1712=$B$5</f>
        <v/>
      </c>
      <c r="G1712">
        <f>IF(E1712,A1712,10^9)</f>
        <v/>
      </c>
      <c r="H1712">
        <f>IF(E1712,D1712,10^9)</f>
        <v/>
      </c>
    </row>
    <row r="1713">
      <c r="A1713" t="n">
        <v>1705</v>
      </c>
      <c r="B1713" t="n">
        <v>0</v>
      </c>
      <c r="C1713" t="n">
        <v>0</v>
      </c>
      <c r="D1713" t="n">
        <v>1911.670986889335</v>
      </c>
      <c r="E1713">
        <f>C1713&lt;0.05</f>
        <v/>
      </c>
      <c r="F1713">
        <f>A1713=$B$5</f>
        <v/>
      </c>
      <c r="G1713">
        <f>IF(E1713,A1713,10^9)</f>
        <v/>
      </c>
      <c r="H1713">
        <f>IF(E1713,D1713,10^9)</f>
        <v/>
      </c>
    </row>
    <row r="1714">
      <c r="A1714" t="n">
        <v>1706</v>
      </c>
      <c r="B1714" t="n">
        <v>0</v>
      </c>
      <c r="C1714" t="n">
        <v>0</v>
      </c>
      <c r="D1714" t="n">
        <v>1912.670986889335</v>
      </c>
      <c r="E1714">
        <f>C1714&lt;0.05</f>
        <v/>
      </c>
      <c r="F1714">
        <f>A1714=$B$5</f>
        <v/>
      </c>
      <c r="G1714">
        <f>IF(E1714,A1714,10^9)</f>
        <v/>
      </c>
      <c r="H1714">
        <f>IF(E1714,D1714,10^9)</f>
        <v/>
      </c>
    </row>
    <row r="1715">
      <c r="A1715" t="n">
        <v>1707</v>
      </c>
      <c r="B1715" t="n">
        <v>0</v>
      </c>
      <c r="C1715" t="n">
        <v>0</v>
      </c>
      <c r="D1715" t="n">
        <v>1913.670986889335</v>
      </c>
      <c r="E1715">
        <f>C1715&lt;0.05</f>
        <v/>
      </c>
      <c r="F1715">
        <f>A1715=$B$5</f>
        <v/>
      </c>
      <c r="G1715">
        <f>IF(E1715,A1715,10^9)</f>
        <v/>
      </c>
      <c r="H1715">
        <f>IF(E1715,D1715,10^9)</f>
        <v/>
      </c>
    </row>
    <row r="1716">
      <c r="A1716" t="n">
        <v>1708</v>
      </c>
      <c r="B1716" t="n">
        <v>0</v>
      </c>
      <c r="C1716" t="n">
        <v>0</v>
      </c>
      <c r="D1716" t="n">
        <v>1914.670986889335</v>
      </c>
      <c r="E1716">
        <f>C1716&lt;0.05</f>
        <v/>
      </c>
      <c r="F1716">
        <f>A1716=$B$5</f>
        <v/>
      </c>
      <c r="G1716">
        <f>IF(E1716,A1716,10^9)</f>
        <v/>
      </c>
      <c r="H1716">
        <f>IF(E1716,D1716,10^9)</f>
        <v/>
      </c>
    </row>
    <row r="1717">
      <c r="A1717" t="n">
        <v>1709</v>
      </c>
      <c r="B1717" t="n">
        <v>0</v>
      </c>
      <c r="C1717" t="n">
        <v>0</v>
      </c>
      <c r="D1717" t="n">
        <v>1915.670986889335</v>
      </c>
      <c r="E1717">
        <f>C1717&lt;0.05</f>
        <v/>
      </c>
      <c r="F1717">
        <f>A1717=$B$5</f>
        <v/>
      </c>
      <c r="G1717">
        <f>IF(E1717,A1717,10^9)</f>
        <v/>
      </c>
      <c r="H1717">
        <f>IF(E1717,D1717,10^9)</f>
        <v/>
      </c>
    </row>
    <row r="1718">
      <c r="A1718" t="n">
        <v>1710</v>
      </c>
      <c r="B1718" t="n">
        <v>0</v>
      </c>
      <c r="C1718" t="n">
        <v>0</v>
      </c>
      <c r="D1718" t="n">
        <v>1916.670986889335</v>
      </c>
      <c r="E1718">
        <f>C1718&lt;0.05</f>
        <v/>
      </c>
      <c r="F1718">
        <f>A1718=$B$5</f>
        <v/>
      </c>
      <c r="G1718">
        <f>IF(E1718,A1718,10^9)</f>
        <v/>
      </c>
      <c r="H1718">
        <f>IF(E1718,D1718,10^9)</f>
        <v/>
      </c>
    </row>
    <row r="1719">
      <c r="A1719" t="n">
        <v>1711</v>
      </c>
      <c r="B1719" t="n">
        <v>0</v>
      </c>
      <c r="C1719" t="n">
        <v>0</v>
      </c>
      <c r="D1719" t="n">
        <v>1917.670986889335</v>
      </c>
      <c r="E1719">
        <f>C1719&lt;0.05</f>
        <v/>
      </c>
      <c r="F1719">
        <f>A1719=$B$5</f>
        <v/>
      </c>
      <c r="G1719">
        <f>IF(E1719,A1719,10^9)</f>
        <v/>
      </c>
      <c r="H1719">
        <f>IF(E1719,D1719,10^9)</f>
        <v/>
      </c>
    </row>
    <row r="1720">
      <c r="A1720" t="n">
        <v>1712</v>
      </c>
      <c r="B1720" t="n">
        <v>0</v>
      </c>
      <c r="C1720" t="n">
        <v>0</v>
      </c>
      <c r="D1720" t="n">
        <v>1918.670986889335</v>
      </c>
      <c r="E1720">
        <f>C1720&lt;0.05</f>
        <v/>
      </c>
      <c r="F1720">
        <f>A1720=$B$5</f>
        <v/>
      </c>
      <c r="G1720">
        <f>IF(E1720,A1720,10^9)</f>
        <v/>
      </c>
      <c r="H1720">
        <f>IF(E1720,D1720,10^9)</f>
        <v/>
      </c>
    </row>
    <row r="1721">
      <c r="A1721" t="n">
        <v>1713</v>
      </c>
      <c r="B1721" t="n">
        <v>0</v>
      </c>
      <c r="C1721" t="n">
        <v>0</v>
      </c>
      <c r="D1721" t="n">
        <v>1919.670986889335</v>
      </c>
      <c r="E1721">
        <f>C1721&lt;0.05</f>
        <v/>
      </c>
      <c r="F1721">
        <f>A1721=$B$5</f>
        <v/>
      </c>
      <c r="G1721">
        <f>IF(E1721,A1721,10^9)</f>
        <v/>
      </c>
      <c r="H1721">
        <f>IF(E1721,D1721,10^9)</f>
        <v/>
      </c>
    </row>
    <row r="1722">
      <c r="A1722" t="n">
        <v>1714</v>
      </c>
      <c r="B1722" t="n">
        <v>0</v>
      </c>
      <c r="C1722" t="n">
        <v>0</v>
      </c>
      <c r="D1722" t="n">
        <v>1920.670986889335</v>
      </c>
      <c r="E1722">
        <f>C1722&lt;0.05</f>
        <v/>
      </c>
      <c r="F1722">
        <f>A1722=$B$5</f>
        <v/>
      </c>
      <c r="G1722">
        <f>IF(E1722,A1722,10^9)</f>
        <v/>
      </c>
      <c r="H1722">
        <f>IF(E1722,D1722,10^9)</f>
        <v/>
      </c>
    </row>
    <row r="1723">
      <c r="A1723" t="n">
        <v>1715</v>
      </c>
      <c r="B1723" t="n">
        <v>0</v>
      </c>
      <c r="C1723" t="n">
        <v>0</v>
      </c>
      <c r="D1723" t="n">
        <v>1921.670986889335</v>
      </c>
      <c r="E1723">
        <f>C1723&lt;0.05</f>
        <v/>
      </c>
      <c r="F1723">
        <f>A1723=$B$5</f>
        <v/>
      </c>
      <c r="G1723">
        <f>IF(E1723,A1723,10^9)</f>
        <v/>
      </c>
      <c r="H1723">
        <f>IF(E1723,D1723,10^9)</f>
        <v/>
      </c>
    </row>
    <row r="1724">
      <c r="A1724" t="n">
        <v>1716</v>
      </c>
      <c r="B1724" t="n">
        <v>0</v>
      </c>
      <c r="C1724" t="n">
        <v>0</v>
      </c>
      <c r="D1724" t="n">
        <v>1922.670986889335</v>
      </c>
      <c r="E1724">
        <f>C1724&lt;0.05</f>
        <v/>
      </c>
      <c r="F1724">
        <f>A1724=$B$5</f>
        <v/>
      </c>
      <c r="G1724">
        <f>IF(E1724,A1724,10^9)</f>
        <v/>
      </c>
      <c r="H1724">
        <f>IF(E1724,D1724,10^9)</f>
        <v/>
      </c>
    </row>
    <row r="1725">
      <c r="A1725" t="n">
        <v>1717</v>
      </c>
      <c r="B1725" t="n">
        <v>0</v>
      </c>
      <c r="C1725" t="n">
        <v>0</v>
      </c>
      <c r="D1725" t="n">
        <v>1923.670986889335</v>
      </c>
      <c r="E1725">
        <f>C1725&lt;0.05</f>
        <v/>
      </c>
      <c r="F1725">
        <f>A1725=$B$5</f>
        <v/>
      </c>
      <c r="G1725">
        <f>IF(E1725,A1725,10^9)</f>
        <v/>
      </c>
      <c r="H1725">
        <f>IF(E1725,D1725,10^9)</f>
        <v/>
      </c>
    </row>
    <row r="1726">
      <c r="A1726" t="n">
        <v>1718</v>
      </c>
      <c r="B1726" t="n">
        <v>0</v>
      </c>
      <c r="C1726" t="n">
        <v>0</v>
      </c>
      <c r="D1726" t="n">
        <v>1924.670986889335</v>
      </c>
      <c r="E1726">
        <f>C1726&lt;0.05</f>
        <v/>
      </c>
      <c r="F1726">
        <f>A1726=$B$5</f>
        <v/>
      </c>
      <c r="G1726">
        <f>IF(E1726,A1726,10^9)</f>
        <v/>
      </c>
      <c r="H1726">
        <f>IF(E1726,D1726,10^9)</f>
        <v/>
      </c>
    </row>
    <row r="1727">
      <c r="A1727" t="n">
        <v>1719</v>
      </c>
      <c r="B1727" t="n">
        <v>0</v>
      </c>
      <c r="C1727" t="n">
        <v>0</v>
      </c>
      <c r="D1727" t="n">
        <v>1925.670986889335</v>
      </c>
      <c r="E1727">
        <f>C1727&lt;0.05</f>
        <v/>
      </c>
      <c r="F1727">
        <f>A1727=$B$5</f>
        <v/>
      </c>
      <c r="G1727">
        <f>IF(E1727,A1727,10^9)</f>
        <v/>
      </c>
      <c r="H1727">
        <f>IF(E1727,D1727,10^9)</f>
        <v/>
      </c>
    </row>
    <row r="1728">
      <c r="A1728" t="n">
        <v>1720</v>
      </c>
      <c r="B1728" t="n">
        <v>0</v>
      </c>
      <c r="C1728" t="n">
        <v>0</v>
      </c>
      <c r="D1728" t="n">
        <v>1926.670986889335</v>
      </c>
      <c r="E1728">
        <f>C1728&lt;0.05</f>
        <v/>
      </c>
      <c r="F1728">
        <f>A1728=$B$5</f>
        <v/>
      </c>
      <c r="G1728">
        <f>IF(E1728,A1728,10^9)</f>
        <v/>
      </c>
      <c r="H1728">
        <f>IF(E1728,D1728,10^9)</f>
        <v/>
      </c>
    </row>
    <row r="1729">
      <c r="A1729" t="n">
        <v>1721</v>
      </c>
      <c r="B1729" t="n">
        <v>0</v>
      </c>
      <c r="C1729" t="n">
        <v>0</v>
      </c>
      <c r="D1729" t="n">
        <v>1927.670986889335</v>
      </c>
      <c r="E1729">
        <f>C1729&lt;0.05</f>
        <v/>
      </c>
      <c r="F1729">
        <f>A1729=$B$5</f>
        <v/>
      </c>
      <c r="G1729">
        <f>IF(E1729,A1729,10^9)</f>
        <v/>
      </c>
      <c r="H1729">
        <f>IF(E1729,D1729,10^9)</f>
        <v/>
      </c>
    </row>
    <row r="1730">
      <c r="A1730" t="n">
        <v>1722</v>
      </c>
      <c r="B1730" t="n">
        <v>0</v>
      </c>
      <c r="C1730" t="n">
        <v>0</v>
      </c>
      <c r="D1730" t="n">
        <v>1928.670986889335</v>
      </c>
      <c r="E1730">
        <f>C1730&lt;0.05</f>
        <v/>
      </c>
      <c r="F1730">
        <f>A1730=$B$5</f>
        <v/>
      </c>
      <c r="G1730">
        <f>IF(E1730,A1730,10^9)</f>
        <v/>
      </c>
      <c r="H1730">
        <f>IF(E1730,D1730,10^9)</f>
        <v/>
      </c>
    </row>
    <row r="1731">
      <c r="A1731" t="n">
        <v>1723</v>
      </c>
      <c r="B1731" t="n">
        <v>0</v>
      </c>
      <c r="C1731" t="n">
        <v>0</v>
      </c>
      <c r="D1731" t="n">
        <v>1929.670986889335</v>
      </c>
      <c r="E1731">
        <f>C1731&lt;0.05</f>
        <v/>
      </c>
      <c r="F1731">
        <f>A1731=$B$5</f>
        <v/>
      </c>
      <c r="G1731">
        <f>IF(E1731,A1731,10^9)</f>
        <v/>
      </c>
      <c r="H1731">
        <f>IF(E1731,D1731,10^9)</f>
        <v/>
      </c>
    </row>
    <row r="1732">
      <c r="A1732" t="n">
        <v>1724</v>
      </c>
      <c r="B1732" t="n">
        <v>0</v>
      </c>
      <c r="C1732" t="n">
        <v>0</v>
      </c>
      <c r="D1732" t="n">
        <v>1930.670986889335</v>
      </c>
      <c r="E1732">
        <f>C1732&lt;0.05</f>
        <v/>
      </c>
      <c r="F1732">
        <f>A1732=$B$5</f>
        <v/>
      </c>
      <c r="G1732">
        <f>IF(E1732,A1732,10^9)</f>
        <v/>
      </c>
      <c r="H1732">
        <f>IF(E1732,D1732,10^9)</f>
        <v/>
      </c>
    </row>
    <row r="1733">
      <c r="A1733" t="n">
        <v>1725</v>
      </c>
      <c r="B1733" t="n">
        <v>0</v>
      </c>
      <c r="C1733" t="n">
        <v>0</v>
      </c>
      <c r="D1733" t="n">
        <v>1931.670986889335</v>
      </c>
      <c r="E1733">
        <f>C1733&lt;0.05</f>
        <v/>
      </c>
      <c r="F1733">
        <f>A1733=$B$5</f>
        <v/>
      </c>
      <c r="G1733">
        <f>IF(E1733,A1733,10^9)</f>
        <v/>
      </c>
      <c r="H1733">
        <f>IF(E1733,D1733,10^9)</f>
        <v/>
      </c>
    </row>
    <row r="1734">
      <c r="A1734" t="n">
        <v>1726</v>
      </c>
      <c r="B1734" t="n">
        <v>0</v>
      </c>
      <c r="C1734" t="n">
        <v>0</v>
      </c>
      <c r="D1734" t="n">
        <v>1932.670986889335</v>
      </c>
      <c r="E1734">
        <f>C1734&lt;0.05</f>
        <v/>
      </c>
      <c r="F1734">
        <f>A1734=$B$5</f>
        <v/>
      </c>
      <c r="G1734">
        <f>IF(E1734,A1734,10^9)</f>
        <v/>
      </c>
      <c r="H1734">
        <f>IF(E1734,D1734,10^9)</f>
        <v/>
      </c>
    </row>
    <row r="1735">
      <c r="A1735" t="n">
        <v>1727</v>
      </c>
      <c r="B1735" t="n">
        <v>0</v>
      </c>
      <c r="C1735" t="n">
        <v>0</v>
      </c>
      <c r="D1735" t="n">
        <v>1933.670986889335</v>
      </c>
      <c r="E1735">
        <f>C1735&lt;0.05</f>
        <v/>
      </c>
      <c r="F1735">
        <f>A1735=$B$5</f>
        <v/>
      </c>
      <c r="G1735">
        <f>IF(E1735,A1735,10^9)</f>
        <v/>
      </c>
      <c r="H1735">
        <f>IF(E1735,D1735,10^9)</f>
        <v/>
      </c>
    </row>
    <row r="1736">
      <c r="A1736" t="n">
        <v>1728</v>
      </c>
      <c r="B1736" t="n">
        <v>0</v>
      </c>
      <c r="C1736" t="n">
        <v>0</v>
      </c>
      <c r="D1736" t="n">
        <v>1934.670986889335</v>
      </c>
      <c r="E1736">
        <f>C1736&lt;0.05</f>
        <v/>
      </c>
      <c r="F1736">
        <f>A1736=$B$5</f>
        <v/>
      </c>
      <c r="G1736">
        <f>IF(E1736,A1736,10^9)</f>
        <v/>
      </c>
      <c r="H1736">
        <f>IF(E1736,D1736,10^9)</f>
        <v/>
      </c>
    </row>
    <row r="1737">
      <c r="A1737" t="n">
        <v>1729</v>
      </c>
      <c r="B1737" t="n">
        <v>0</v>
      </c>
      <c r="C1737" t="n">
        <v>0</v>
      </c>
      <c r="D1737" t="n">
        <v>1935.670986889335</v>
      </c>
      <c r="E1737">
        <f>C1737&lt;0.05</f>
        <v/>
      </c>
      <c r="F1737">
        <f>A1737=$B$5</f>
        <v/>
      </c>
      <c r="G1737">
        <f>IF(E1737,A1737,10^9)</f>
        <v/>
      </c>
      <c r="H1737">
        <f>IF(E1737,D1737,10^9)</f>
        <v/>
      </c>
    </row>
    <row r="1738">
      <c r="A1738" t="n">
        <v>1730</v>
      </c>
      <c r="B1738" t="n">
        <v>0</v>
      </c>
      <c r="C1738" t="n">
        <v>0</v>
      </c>
      <c r="D1738" t="n">
        <v>1936.670986889335</v>
      </c>
      <c r="E1738">
        <f>C1738&lt;0.05</f>
        <v/>
      </c>
      <c r="F1738">
        <f>A1738=$B$5</f>
        <v/>
      </c>
      <c r="G1738">
        <f>IF(E1738,A1738,10^9)</f>
        <v/>
      </c>
      <c r="H1738">
        <f>IF(E1738,D1738,10^9)</f>
        <v/>
      </c>
    </row>
    <row r="1739">
      <c r="A1739" t="n">
        <v>1731</v>
      </c>
      <c r="B1739" t="n">
        <v>0</v>
      </c>
      <c r="C1739" t="n">
        <v>0</v>
      </c>
      <c r="D1739" t="n">
        <v>1937.670986889335</v>
      </c>
      <c r="E1739">
        <f>C1739&lt;0.05</f>
        <v/>
      </c>
      <c r="F1739">
        <f>A1739=$B$5</f>
        <v/>
      </c>
      <c r="G1739">
        <f>IF(E1739,A1739,10^9)</f>
        <v/>
      </c>
      <c r="H1739">
        <f>IF(E1739,D1739,10^9)</f>
        <v/>
      </c>
    </row>
    <row r="1740">
      <c r="A1740" t="n">
        <v>1732</v>
      </c>
      <c r="B1740" t="n">
        <v>0</v>
      </c>
      <c r="C1740" t="n">
        <v>0</v>
      </c>
      <c r="D1740" t="n">
        <v>1938.670986889335</v>
      </c>
      <c r="E1740">
        <f>C1740&lt;0.05</f>
        <v/>
      </c>
      <c r="F1740">
        <f>A1740=$B$5</f>
        <v/>
      </c>
      <c r="G1740">
        <f>IF(E1740,A1740,10^9)</f>
        <v/>
      </c>
      <c r="H1740">
        <f>IF(E1740,D1740,10^9)</f>
        <v/>
      </c>
    </row>
    <row r="1741">
      <c r="A1741" t="n">
        <v>1733</v>
      </c>
      <c r="B1741" t="n">
        <v>0</v>
      </c>
      <c r="C1741" t="n">
        <v>0</v>
      </c>
      <c r="D1741" t="n">
        <v>1939.670986889335</v>
      </c>
      <c r="E1741">
        <f>C1741&lt;0.05</f>
        <v/>
      </c>
      <c r="F1741">
        <f>A1741=$B$5</f>
        <v/>
      </c>
      <c r="G1741">
        <f>IF(E1741,A1741,10^9)</f>
        <v/>
      </c>
      <c r="H1741">
        <f>IF(E1741,D1741,10^9)</f>
        <v/>
      </c>
    </row>
    <row r="1742">
      <c r="A1742" t="n">
        <v>1734</v>
      </c>
      <c r="B1742" t="n">
        <v>0</v>
      </c>
      <c r="C1742" t="n">
        <v>0</v>
      </c>
      <c r="D1742" t="n">
        <v>1940.670986889335</v>
      </c>
      <c r="E1742">
        <f>C1742&lt;0.05</f>
        <v/>
      </c>
      <c r="F1742">
        <f>A1742=$B$5</f>
        <v/>
      </c>
      <c r="G1742">
        <f>IF(E1742,A1742,10^9)</f>
        <v/>
      </c>
      <c r="H1742">
        <f>IF(E1742,D1742,10^9)</f>
        <v/>
      </c>
    </row>
    <row r="1743">
      <c r="A1743" t="n">
        <v>1735</v>
      </c>
      <c r="B1743" t="n">
        <v>0</v>
      </c>
      <c r="C1743" t="n">
        <v>0</v>
      </c>
      <c r="D1743" t="n">
        <v>1941.670986889335</v>
      </c>
      <c r="E1743">
        <f>C1743&lt;0.05</f>
        <v/>
      </c>
      <c r="F1743">
        <f>A1743=$B$5</f>
        <v/>
      </c>
      <c r="G1743">
        <f>IF(E1743,A1743,10^9)</f>
        <v/>
      </c>
      <c r="H1743">
        <f>IF(E1743,D1743,10^9)</f>
        <v/>
      </c>
    </row>
    <row r="1744">
      <c r="A1744" t="n">
        <v>1736</v>
      </c>
      <c r="B1744" t="n">
        <v>0</v>
      </c>
      <c r="C1744" t="n">
        <v>0</v>
      </c>
      <c r="D1744" t="n">
        <v>1942.670986889335</v>
      </c>
      <c r="E1744">
        <f>C1744&lt;0.05</f>
        <v/>
      </c>
      <c r="F1744">
        <f>A1744=$B$5</f>
        <v/>
      </c>
      <c r="G1744">
        <f>IF(E1744,A1744,10^9)</f>
        <v/>
      </c>
      <c r="H1744">
        <f>IF(E1744,D1744,10^9)</f>
        <v/>
      </c>
    </row>
    <row r="1745">
      <c r="A1745" t="n">
        <v>1737</v>
      </c>
      <c r="B1745" t="n">
        <v>0</v>
      </c>
      <c r="C1745" t="n">
        <v>0</v>
      </c>
      <c r="D1745" t="n">
        <v>1943.670986889335</v>
      </c>
      <c r="E1745">
        <f>C1745&lt;0.05</f>
        <v/>
      </c>
      <c r="F1745">
        <f>A1745=$B$5</f>
        <v/>
      </c>
      <c r="G1745">
        <f>IF(E1745,A1745,10^9)</f>
        <v/>
      </c>
      <c r="H1745">
        <f>IF(E1745,D1745,10^9)</f>
        <v/>
      </c>
    </row>
    <row r="1746">
      <c r="A1746" t="n">
        <v>1738</v>
      </c>
      <c r="B1746" t="n">
        <v>0</v>
      </c>
      <c r="C1746" t="n">
        <v>0</v>
      </c>
      <c r="D1746" t="n">
        <v>1944.670986889335</v>
      </c>
      <c r="E1746">
        <f>C1746&lt;0.05</f>
        <v/>
      </c>
      <c r="F1746">
        <f>A1746=$B$5</f>
        <v/>
      </c>
      <c r="G1746">
        <f>IF(E1746,A1746,10^9)</f>
        <v/>
      </c>
      <c r="H1746">
        <f>IF(E1746,D1746,10^9)</f>
        <v/>
      </c>
    </row>
    <row r="1747">
      <c r="A1747" t="n">
        <v>1739</v>
      </c>
      <c r="B1747" t="n">
        <v>0</v>
      </c>
      <c r="C1747" t="n">
        <v>0</v>
      </c>
      <c r="D1747" t="n">
        <v>1945.670986889335</v>
      </c>
      <c r="E1747">
        <f>C1747&lt;0.05</f>
        <v/>
      </c>
      <c r="F1747">
        <f>A1747=$B$5</f>
        <v/>
      </c>
      <c r="G1747">
        <f>IF(E1747,A1747,10^9)</f>
        <v/>
      </c>
      <c r="H1747">
        <f>IF(E1747,D1747,10^9)</f>
        <v/>
      </c>
    </row>
    <row r="1748">
      <c r="A1748" t="n">
        <v>1740</v>
      </c>
      <c r="B1748" t="n">
        <v>0</v>
      </c>
      <c r="C1748" t="n">
        <v>0</v>
      </c>
      <c r="D1748" t="n">
        <v>1946.670986889335</v>
      </c>
      <c r="E1748">
        <f>C1748&lt;0.05</f>
        <v/>
      </c>
      <c r="F1748">
        <f>A1748=$B$5</f>
        <v/>
      </c>
      <c r="G1748">
        <f>IF(E1748,A1748,10^9)</f>
        <v/>
      </c>
      <c r="H1748">
        <f>IF(E1748,D1748,10^9)</f>
        <v/>
      </c>
    </row>
    <row r="1749">
      <c r="A1749" t="n">
        <v>1741</v>
      </c>
      <c r="B1749" t="n">
        <v>0</v>
      </c>
      <c r="C1749" t="n">
        <v>0</v>
      </c>
      <c r="D1749" t="n">
        <v>1947.670986889335</v>
      </c>
      <c r="E1749">
        <f>C1749&lt;0.05</f>
        <v/>
      </c>
      <c r="F1749">
        <f>A1749=$B$5</f>
        <v/>
      </c>
      <c r="G1749">
        <f>IF(E1749,A1749,10^9)</f>
        <v/>
      </c>
      <c r="H1749">
        <f>IF(E1749,D1749,10^9)</f>
        <v/>
      </c>
    </row>
    <row r="1750">
      <c r="A1750" t="n">
        <v>1742</v>
      </c>
      <c r="B1750" t="n">
        <v>0</v>
      </c>
      <c r="C1750" t="n">
        <v>0</v>
      </c>
      <c r="D1750" t="n">
        <v>1948.670986889335</v>
      </c>
      <c r="E1750">
        <f>C1750&lt;0.05</f>
        <v/>
      </c>
      <c r="F1750">
        <f>A1750=$B$5</f>
        <v/>
      </c>
      <c r="G1750">
        <f>IF(E1750,A1750,10^9)</f>
        <v/>
      </c>
      <c r="H1750">
        <f>IF(E1750,D1750,10^9)</f>
        <v/>
      </c>
    </row>
    <row r="1751">
      <c r="A1751" t="n">
        <v>1743</v>
      </c>
      <c r="B1751" t="n">
        <v>0</v>
      </c>
      <c r="C1751" t="n">
        <v>0</v>
      </c>
      <c r="D1751" t="n">
        <v>1949.670986889335</v>
      </c>
      <c r="E1751">
        <f>C1751&lt;0.05</f>
        <v/>
      </c>
      <c r="F1751">
        <f>A1751=$B$5</f>
        <v/>
      </c>
      <c r="G1751">
        <f>IF(E1751,A1751,10^9)</f>
        <v/>
      </c>
      <c r="H1751">
        <f>IF(E1751,D1751,10^9)</f>
        <v/>
      </c>
    </row>
    <row r="1752">
      <c r="A1752" t="n">
        <v>1744</v>
      </c>
      <c r="B1752" t="n">
        <v>0</v>
      </c>
      <c r="C1752" t="n">
        <v>0</v>
      </c>
      <c r="D1752" t="n">
        <v>1950.670986889335</v>
      </c>
      <c r="E1752">
        <f>C1752&lt;0.05</f>
        <v/>
      </c>
      <c r="F1752">
        <f>A1752=$B$5</f>
        <v/>
      </c>
      <c r="G1752">
        <f>IF(E1752,A1752,10^9)</f>
        <v/>
      </c>
      <c r="H1752">
        <f>IF(E1752,D1752,10^9)</f>
        <v/>
      </c>
    </row>
    <row r="1753">
      <c r="A1753" t="n">
        <v>1745</v>
      </c>
      <c r="B1753" t="n">
        <v>0</v>
      </c>
      <c r="C1753" t="n">
        <v>0</v>
      </c>
      <c r="D1753" t="n">
        <v>1951.670986889335</v>
      </c>
      <c r="E1753">
        <f>C1753&lt;0.05</f>
        <v/>
      </c>
      <c r="F1753">
        <f>A1753=$B$5</f>
        <v/>
      </c>
      <c r="G1753">
        <f>IF(E1753,A1753,10^9)</f>
        <v/>
      </c>
      <c r="H1753">
        <f>IF(E1753,D1753,10^9)</f>
        <v/>
      </c>
    </row>
    <row r="1754">
      <c r="A1754" t="n">
        <v>1746</v>
      </c>
      <c r="B1754" t="n">
        <v>0</v>
      </c>
      <c r="C1754" t="n">
        <v>0</v>
      </c>
      <c r="D1754" t="n">
        <v>1952.670986889335</v>
      </c>
      <c r="E1754">
        <f>C1754&lt;0.05</f>
        <v/>
      </c>
      <c r="F1754">
        <f>A1754=$B$5</f>
        <v/>
      </c>
      <c r="G1754">
        <f>IF(E1754,A1754,10^9)</f>
        <v/>
      </c>
      <c r="H1754">
        <f>IF(E1754,D1754,10^9)</f>
        <v/>
      </c>
    </row>
    <row r="1755">
      <c r="A1755" t="n">
        <v>1747</v>
      </c>
      <c r="B1755" t="n">
        <v>0</v>
      </c>
      <c r="C1755" t="n">
        <v>0</v>
      </c>
      <c r="D1755" t="n">
        <v>1953.670986889335</v>
      </c>
      <c r="E1755">
        <f>C1755&lt;0.05</f>
        <v/>
      </c>
      <c r="F1755">
        <f>A1755=$B$5</f>
        <v/>
      </c>
      <c r="G1755">
        <f>IF(E1755,A1755,10^9)</f>
        <v/>
      </c>
      <c r="H1755">
        <f>IF(E1755,D1755,10^9)</f>
        <v/>
      </c>
    </row>
    <row r="1756">
      <c r="A1756" t="n">
        <v>1748</v>
      </c>
      <c r="B1756" t="n">
        <v>0</v>
      </c>
      <c r="C1756" t="n">
        <v>0</v>
      </c>
      <c r="D1756" t="n">
        <v>1954.670986889335</v>
      </c>
      <c r="E1756">
        <f>C1756&lt;0.05</f>
        <v/>
      </c>
      <c r="F1756">
        <f>A1756=$B$5</f>
        <v/>
      </c>
      <c r="G1756">
        <f>IF(E1756,A1756,10^9)</f>
        <v/>
      </c>
      <c r="H1756">
        <f>IF(E1756,D1756,10^9)</f>
        <v/>
      </c>
    </row>
    <row r="1757">
      <c r="A1757" t="n">
        <v>1749</v>
      </c>
      <c r="B1757" t="n">
        <v>0</v>
      </c>
      <c r="C1757" t="n">
        <v>0</v>
      </c>
      <c r="D1757" t="n">
        <v>1955.670986889335</v>
      </c>
      <c r="E1757">
        <f>C1757&lt;0.05</f>
        <v/>
      </c>
      <c r="F1757">
        <f>A1757=$B$5</f>
        <v/>
      </c>
      <c r="G1757">
        <f>IF(E1757,A1757,10^9)</f>
        <v/>
      </c>
      <c r="H1757">
        <f>IF(E1757,D1757,10^9)</f>
        <v/>
      </c>
    </row>
    <row r="1758">
      <c r="A1758" t="n">
        <v>1750</v>
      </c>
      <c r="B1758" t="n">
        <v>0</v>
      </c>
      <c r="C1758" t="n">
        <v>0</v>
      </c>
      <c r="D1758" t="n">
        <v>1956.670986889335</v>
      </c>
      <c r="E1758">
        <f>C1758&lt;0.05</f>
        <v/>
      </c>
      <c r="F1758">
        <f>A1758=$B$5</f>
        <v/>
      </c>
      <c r="G1758">
        <f>IF(E1758,A1758,10^9)</f>
        <v/>
      </c>
      <c r="H1758">
        <f>IF(E1758,D1758,10^9)</f>
        <v/>
      </c>
    </row>
    <row r="1759">
      <c r="A1759" t="n">
        <v>1751</v>
      </c>
      <c r="B1759" t="n">
        <v>0</v>
      </c>
      <c r="C1759" t="n">
        <v>0</v>
      </c>
      <c r="D1759" t="n">
        <v>1957.670986889335</v>
      </c>
      <c r="E1759">
        <f>C1759&lt;0.05</f>
        <v/>
      </c>
      <c r="F1759">
        <f>A1759=$B$5</f>
        <v/>
      </c>
      <c r="G1759">
        <f>IF(E1759,A1759,10^9)</f>
        <v/>
      </c>
      <c r="H1759">
        <f>IF(E1759,D1759,10^9)</f>
        <v/>
      </c>
    </row>
    <row r="1760">
      <c r="A1760" t="n">
        <v>1752</v>
      </c>
      <c r="B1760" t="n">
        <v>0</v>
      </c>
      <c r="C1760" t="n">
        <v>0</v>
      </c>
      <c r="D1760" t="n">
        <v>1958.670986889335</v>
      </c>
      <c r="E1760">
        <f>C1760&lt;0.05</f>
        <v/>
      </c>
      <c r="F1760">
        <f>A1760=$B$5</f>
        <v/>
      </c>
      <c r="G1760">
        <f>IF(E1760,A1760,10^9)</f>
        <v/>
      </c>
      <c r="H1760">
        <f>IF(E1760,D1760,10^9)</f>
        <v/>
      </c>
    </row>
    <row r="1761">
      <c r="A1761" t="n">
        <v>1753</v>
      </c>
      <c r="B1761" t="n">
        <v>0</v>
      </c>
      <c r="C1761" t="n">
        <v>0</v>
      </c>
      <c r="D1761" t="n">
        <v>1959.670986889335</v>
      </c>
      <c r="E1761">
        <f>C1761&lt;0.05</f>
        <v/>
      </c>
      <c r="F1761">
        <f>A1761=$B$5</f>
        <v/>
      </c>
      <c r="G1761">
        <f>IF(E1761,A1761,10^9)</f>
        <v/>
      </c>
      <c r="H1761">
        <f>IF(E1761,D1761,10^9)</f>
        <v/>
      </c>
    </row>
    <row r="1762">
      <c r="A1762" t="n">
        <v>1754</v>
      </c>
      <c r="B1762" t="n">
        <v>0</v>
      </c>
      <c r="C1762" t="n">
        <v>0</v>
      </c>
      <c r="D1762" t="n">
        <v>1960.670986889335</v>
      </c>
      <c r="E1762">
        <f>C1762&lt;0.05</f>
        <v/>
      </c>
      <c r="F1762">
        <f>A1762=$B$5</f>
        <v/>
      </c>
      <c r="G1762">
        <f>IF(E1762,A1762,10^9)</f>
        <v/>
      </c>
      <c r="H1762">
        <f>IF(E1762,D1762,10^9)</f>
        <v/>
      </c>
    </row>
    <row r="1763">
      <c r="A1763" t="n">
        <v>1755</v>
      </c>
      <c r="B1763" t="n">
        <v>0</v>
      </c>
      <c r="C1763" t="n">
        <v>0</v>
      </c>
      <c r="D1763" t="n">
        <v>1961.670986889335</v>
      </c>
      <c r="E1763">
        <f>C1763&lt;0.05</f>
        <v/>
      </c>
      <c r="F1763">
        <f>A1763=$B$5</f>
        <v/>
      </c>
      <c r="G1763">
        <f>IF(E1763,A1763,10^9)</f>
        <v/>
      </c>
      <c r="H1763">
        <f>IF(E1763,D1763,10^9)</f>
        <v/>
      </c>
    </row>
    <row r="1764">
      <c r="A1764" t="n">
        <v>1756</v>
      </c>
      <c r="B1764" t="n">
        <v>0</v>
      </c>
      <c r="C1764" t="n">
        <v>0</v>
      </c>
      <c r="D1764" t="n">
        <v>1962.670986889335</v>
      </c>
      <c r="E1764">
        <f>C1764&lt;0.05</f>
        <v/>
      </c>
      <c r="F1764">
        <f>A1764=$B$5</f>
        <v/>
      </c>
      <c r="G1764">
        <f>IF(E1764,A1764,10^9)</f>
        <v/>
      </c>
      <c r="H1764">
        <f>IF(E1764,D1764,10^9)</f>
        <v/>
      </c>
    </row>
    <row r="1765">
      <c r="A1765" t="n">
        <v>1757</v>
      </c>
      <c r="B1765" t="n">
        <v>0</v>
      </c>
      <c r="C1765" t="n">
        <v>0</v>
      </c>
      <c r="D1765" t="n">
        <v>1963.670986889335</v>
      </c>
      <c r="E1765">
        <f>C1765&lt;0.05</f>
        <v/>
      </c>
      <c r="F1765">
        <f>A1765=$B$5</f>
        <v/>
      </c>
      <c r="G1765">
        <f>IF(E1765,A1765,10^9)</f>
        <v/>
      </c>
      <c r="H1765">
        <f>IF(E1765,D1765,10^9)</f>
        <v/>
      </c>
    </row>
    <row r="1766">
      <c r="A1766" t="n">
        <v>1758</v>
      </c>
      <c r="B1766" t="n">
        <v>0</v>
      </c>
      <c r="C1766" t="n">
        <v>0</v>
      </c>
      <c r="D1766" t="n">
        <v>1964.670986889335</v>
      </c>
      <c r="E1766">
        <f>C1766&lt;0.05</f>
        <v/>
      </c>
      <c r="F1766">
        <f>A1766=$B$5</f>
        <v/>
      </c>
      <c r="G1766">
        <f>IF(E1766,A1766,10^9)</f>
        <v/>
      </c>
      <c r="H1766">
        <f>IF(E1766,D1766,10^9)</f>
        <v/>
      </c>
    </row>
    <row r="1767">
      <c r="A1767" t="n">
        <v>1759</v>
      </c>
      <c r="B1767" t="n">
        <v>0</v>
      </c>
      <c r="C1767" t="n">
        <v>0</v>
      </c>
      <c r="D1767" t="n">
        <v>1965.670986889335</v>
      </c>
      <c r="E1767">
        <f>C1767&lt;0.05</f>
        <v/>
      </c>
      <c r="F1767">
        <f>A1767=$B$5</f>
        <v/>
      </c>
      <c r="G1767">
        <f>IF(E1767,A1767,10^9)</f>
        <v/>
      </c>
      <c r="H1767">
        <f>IF(E1767,D1767,10^9)</f>
        <v/>
      </c>
    </row>
    <row r="1768">
      <c r="A1768" t="n">
        <v>1760</v>
      </c>
      <c r="B1768" t="n">
        <v>0</v>
      </c>
      <c r="C1768" t="n">
        <v>0</v>
      </c>
      <c r="D1768" t="n">
        <v>1966.670986889335</v>
      </c>
      <c r="E1768">
        <f>C1768&lt;0.05</f>
        <v/>
      </c>
      <c r="F1768">
        <f>A1768=$B$5</f>
        <v/>
      </c>
      <c r="G1768">
        <f>IF(E1768,A1768,10^9)</f>
        <v/>
      </c>
      <c r="H1768">
        <f>IF(E1768,D1768,10^9)</f>
        <v/>
      </c>
    </row>
    <row r="1769">
      <c r="A1769" t="n">
        <v>1761</v>
      </c>
      <c r="B1769" t="n">
        <v>0</v>
      </c>
      <c r="C1769" t="n">
        <v>0</v>
      </c>
      <c r="D1769" t="n">
        <v>1967.670986889335</v>
      </c>
      <c r="E1769">
        <f>C1769&lt;0.05</f>
        <v/>
      </c>
      <c r="F1769">
        <f>A1769=$B$5</f>
        <v/>
      </c>
      <c r="G1769">
        <f>IF(E1769,A1769,10^9)</f>
        <v/>
      </c>
      <c r="H1769">
        <f>IF(E1769,D1769,10^9)</f>
        <v/>
      </c>
    </row>
    <row r="1770">
      <c r="A1770" t="n">
        <v>1762</v>
      </c>
      <c r="B1770" t="n">
        <v>0</v>
      </c>
      <c r="C1770" t="n">
        <v>0</v>
      </c>
      <c r="D1770" t="n">
        <v>1968.670986889335</v>
      </c>
      <c r="E1770">
        <f>C1770&lt;0.05</f>
        <v/>
      </c>
      <c r="F1770">
        <f>A1770=$B$5</f>
        <v/>
      </c>
      <c r="G1770">
        <f>IF(E1770,A1770,10^9)</f>
        <v/>
      </c>
      <c r="H1770">
        <f>IF(E1770,D1770,10^9)</f>
        <v/>
      </c>
    </row>
    <row r="1771">
      <c r="A1771" t="n">
        <v>1763</v>
      </c>
      <c r="B1771" t="n">
        <v>0</v>
      </c>
      <c r="C1771" t="n">
        <v>0</v>
      </c>
      <c r="D1771" t="n">
        <v>1969.670986889335</v>
      </c>
      <c r="E1771">
        <f>C1771&lt;0.05</f>
        <v/>
      </c>
      <c r="F1771">
        <f>A1771=$B$5</f>
        <v/>
      </c>
      <c r="G1771">
        <f>IF(E1771,A1771,10^9)</f>
        <v/>
      </c>
      <c r="H1771">
        <f>IF(E1771,D1771,10^9)</f>
        <v/>
      </c>
    </row>
    <row r="1772">
      <c r="A1772" t="n">
        <v>1764</v>
      </c>
      <c r="B1772" t="n">
        <v>0</v>
      </c>
      <c r="C1772" t="n">
        <v>0</v>
      </c>
      <c r="D1772" t="n">
        <v>1970.670986889335</v>
      </c>
      <c r="E1772">
        <f>C1772&lt;0.05</f>
        <v/>
      </c>
      <c r="F1772">
        <f>A1772=$B$5</f>
        <v/>
      </c>
      <c r="G1772">
        <f>IF(E1772,A1772,10^9)</f>
        <v/>
      </c>
      <c r="H1772">
        <f>IF(E1772,D1772,10^9)</f>
        <v/>
      </c>
    </row>
    <row r="1773">
      <c r="A1773" t="n">
        <v>1765</v>
      </c>
      <c r="B1773" t="n">
        <v>0</v>
      </c>
      <c r="C1773" t="n">
        <v>0</v>
      </c>
      <c r="D1773" t="n">
        <v>1971.670986889335</v>
      </c>
      <c r="E1773">
        <f>C1773&lt;0.05</f>
        <v/>
      </c>
      <c r="F1773">
        <f>A1773=$B$5</f>
        <v/>
      </c>
      <c r="G1773">
        <f>IF(E1773,A1773,10^9)</f>
        <v/>
      </c>
      <c r="H1773">
        <f>IF(E1773,D1773,10^9)</f>
        <v/>
      </c>
    </row>
    <row r="1774">
      <c r="A1774" t="n">
        <v>1766</v>
      </c>
      <c r="B1774" t="n">
        <v>0</v>
      </c>
      <c r="C1774" t="n">
        <v>0</v>
      </c>
      <c r="D1774" t="n">
        <v>1972.670986889335</v>
      </c>
      <c r="E1774">
        <f>C1774&lt;0.05</f>
        <v/>
      </c>
      <c r="F1774">
        <f>A1774=$B$5</f>
        <v/>
      </c>
      <c r="G1774">
        <f>IF(E1774,A1774,10^9)</f>
        <v/>
      </c>
      <c r="H1774">
        <f>IF(E1774,D1774,10^9)</f>
        <v/>
      </c>
    </row>
    <row r="1775">
      <c r="A1775" t="n">
        <v>1767</v>
      </c>
      <c r="B1775" t="n">
        <v>0</v>
      </c>
      <c r="C1775" t="n">
        <v>0</v>
      </c>
      <c r="D1775" t="n">
        <v>1973.670986889335</v>
      </c>
      <c r="E1775">
        <f>C1775&lt;0.05</f>
        <v/>
      </c>
      <c r="F1775">
        <f>A1775=$B$5</f>
        <v/>
      </c>
      <c r="G1775">
        <f>IF(E1775,A1775,10^9)</f>
        <v/>
      </c>
      <c r="H1775">
        <f>IF(E1775,D1775,10^9)</f>
        <v/>
      </c>
    </row>
    <row r="1776">
      <c r="A1776" t="n">
        <v>1768</v>
      </c>
      <c r="B1776" t="n">
        <v>0</v>
      </c>
      <c r="C1776" t="n">
        <v>0</v>
      </c>
      <c r="D1776" t="n">
        <v>1974.670986889335</v>
      </c>
      <c r="E1776">
        <f>C1776&lt;0.05</f>
        <v/>
      </c>
      <c r="F1776">
        <f>A1776=$B$5</f>
        <v/>
      </c>
      <c r="G1776">
        <f>IF(E1776,A1776,10^9)</f>
        <v/>
      </c>
      <c r="H1776">
        <f>IF(E1776,D1776,10^9)</f>
        <v/>
      </c>
    </row>
    <row r="1777">
      <c r="A1777" t="n">
        <v>1769</v>
      </c>
      <c r="B1777" t="n">
        <v>0</v>
      </c>
      <c r="C1777" t="n">
        <v>0</v>
      </c>
      <c r="D1777" t="n">
        <v>1975.670986889335</v>
      </c>
      <c r="E1777">
        <f>C1777&lt;0.05</f>
        <v/>
      </c>
      <c r="F1777">
        <f>A1777=$B$5</f>
        <v/>
      </c>
      <c r="G1777">
        <f>IF(E1777,A1777,10^9)</f>
        <v/>
      </c>
      <c r="H1777">
        <f>IF(E1777,D1777,10^9)</f>
        <v/>
      </c>
    </row>
    <row r="1778">
      <c r="A1778" t="n">
        <v>1770</v>
      </c>
      <c r="B1778" t="n">
        <v>0</v>
      </c>
      <c r="C1778" t="n">
        <v>0</v>
      </c>
      <c r="D1778" t="n">
        <v>1976.670986889335</v>
      </c>
      <c r="E1778">
        <f>C1778&lt;0.05</f>
        <v/>
      </c>
      <c r="F1778">
        <f>A1778=$B$5</f>
        <v/>
      </c>
      <c r="G1778">
        <f>IF(E1778,A1778,10^9)</f>
        <v/>
      </c>
      <c r="H1778">
        <f>IF(E1778,D1778,10^9)</f>
        <v/>
      </c>
    </row>
    <row r="1779">
      <c r="A1779" t="n">
        <v>1771</v>
      </c>
      <c r="B1779" t="n">
        <v>0</v>
      </c>
      <c r="C1779" t="n">
        <v>0</v>
      </c>
      <c r="D1779" t="n">
        <v>1977.670986889335</v>
      </c>
      <c r="E1779">
        <f>C1779&lt;0.05</f>
        <v/>
      </c>
      <c r="F1779">
        <f>A1779=$B$5</f>
        <v/>
      </c>
      <c r="G1779">
        <f>IF(E1779,A1779,10^9)</f>
        <v/>
      </c>
      <c r="H1779">
        <f>IF(E1779,D1779,10^9)</f>
        <v/>
      </c>
    </row>
    <row r="1780">
      <c r="A1780" t="n">
        <v>1772</v>
      </c>
      <c r="B1780" t="n">
        <v>0</v>
      </c>
      <c r="C1780" t="n">
        <v>0</v>
      </c>
      <c r="D1780" t="n">
        <v>1978.670986889335</v>
      </c>
      <c r="E1780">
        <f>C1780&lt;0.05</f>
        <v/>
      </c>
      <c r="F1780">
        <f>A1780=$B$5</f>
        <v/>
      </c>
      <c r="G1780">
        <f>IF(E1780,A1780,10^9)</f>
        <v/>
      </c>
      <c r="H1780">
        <f>IF(E1780,D1780,10^9)</f>
        <v/>
      </c>
    </row>
    <row r="1781">
      <c r="A1781" t="n">
        <v>1773</v>
      </c>
      <c r="B1781" t="n">
        <v>0</v>
      </c>
      <c r="C1781" t="n">
        <v>0</v>
      </c>
      <c r="D1781" t="n">
        <v>1979.670986889335</v>
      </c>
      <c r="E1781">
        <f>C1781&lt;0.05</f>
        <v/>
      </c>
      <c r="F1781">
        <f>A1781=$B$5</f>
        <v/>
      </c>
      <c r="G1781">
        <f>IF(E1781,A1781,10^9)</f>
        <v/>
      </c>
      <c r="H1781">
        <f>IF(E1781,D1781,10^9)</f>
        <v/>
      </c>
    </row>
    <row r="1782">
      <c r="A1782" t="n">
        <v>1774</v>
      </c>
      <c r="B1782" t="n">
        <v>0</v>
      </c>
      <c r="C1782" t="n">
        <v>0</v>
      </c>
      <c r="D1782" t="n">
        <v>1980.670986889335</v>
      </c>
      <c r="E1782">
        <f>C1782&lt;0.05</f>
        <v/>
      </c>
      <c r="F1782">
        <f>A1782=$B$5</f>
        <v/>
      </c>
      <c r="G1782">
        <f>IF(E1782,A1782,10^9)</f>
        <v/>
      </c>
      <c r="H1782">
        <f>IF(E1782,D1782,10^9)</f>
        <v/>
      </c>
    </row>
    <row r="1783">
      <c r="A1783" t="n">
        <v>1775</v>
      </c>
      <c r="B1783" t="n">
        <v>0</v>
      </c>
      <c r="C1783" t="n">
        <v>0</v>
      </c>
      <c r="D1783" t="n">
        <v>1981.670986889335</v>
      </c>
      <c r="E1783">
        <f>C1783&lt;0.05</f>
        <v/>
      </c>
      <c r="F1783">
        <f>A1783=$B$5</f>
        <v/>
      </c>
      <c r="G1783">
        <f>IF(E1783,A1783,10^9)</f>
        <v/>
      </c>
      <c r="H1783">
        <f>IF(E1783,D1783,10^9)</f>
        <v/>
      </c>
    </row>
    <row r="1784">
      <c r="A1784" t="n">
        <v>1776</v>
      </c>
      <c r="B1784" t="n">
        <v>0</v>
      </c>
      <c r="C1784" t="n">
        <v>0</v>
      </c>
      <c r="D1784" t="n">
        <v>1982.670986889335</v>
      </c>
      <c r="E1784">
        <f>C1784&lt;0.05</f>
        <v/>
      </c>
      <c r="F1784">
        <f>A1784=$B$5</f>
        <v/>
      </c>
      <c r="G1784">
        <f>IF(E1784,A1784,10^9)</f>
        <v/>
      </c>
      <c r="H1784">
        <f>IF(E1784,D1784,10^9)</f>
        <v/>
      </c>
    </row>
    <row r="1785">
      <c r="A1785" t="n">
        <v>1777</v>
      </c>
      <c r="B1785" t="n">
        <v>0</v>
      </c>
      <c r="C1785" t="n">
        <v>0</v>
      </c>
      <c r="D1785" t="n">
        <v>1983.670986889335</v>
      </c>
      <c r="E1785">
        <f>C1785&lt;0.05</f>
        <v/>
      </c>
      <c r="F1785">
        <f>A1785=$B$5</f>
        <v/>
      </c>
      <c r="G1785">
        <f>IF(E1785,A1785,10^9)</f>
        <v/>
      </c>
      <c r="H1785">
        <f>IF(E1785,D1785,10^9)</f>
        <v/>
      </c>
    </row>
    <row r="1786">
      <c r="A1786" t="n">
        <v>1778</v>
      </c>
      <c r="B1786" t="n">
        <v>0</v>
      </c>
      <c r="C1786" t="n">
        <v>0</v>
      </c>
      <c r="D1786" t="n">
        <v>1984.670986889335</v>
      </c>
      <c r="E1786">
        <f>C1786&lt;0.05</f>
        <v/>
      </c>
      <c r="F1786">
        <f>A1786=$B$5</f>
        <v/>
      </c>
      <c r="G1786">
        <f>IF(E1786,A1786,10^9)</f>
        <v/>
      </c>
      <c r="H1786">
        <f>IF(E1786,D1786,10^9)</f>
        <v/>
      </c>
    </row>
    <row r="1787">
      <c r="A1787" t="n">
        <v>1779</v>
      </c>
      <c r="B1787" t="n">
        <v>0</v>
      </c>
      <c r="C1787" t="n">
        <v>0</v>
      </c>
      <c r="D1787" t="n">
        <v>1985.670986889335</v>
      </c>
      <c r="E1787">
        <f>C1787&lt;0.05</f>
        <v/>
      </c>
      <c r="F1787">
        <f>A1787=$B$5</f>
        <v/>
      </c>
      <c r="G1787">
        <f>IF(E1787,A1787,10^9)</f>
        <v/>
      </c>
      <c r="H1787">
        <f>IF(E1787,D1787,10^9)</f>
        <v/>
      </c>
    </row>
    <row r="1788">
      <c r="A1788" t="n">
        <v>1780</v>
      </c>
      <c r="B1788" t="n">
        <v>0</v>
      </c>
      <c r="C1788" t="n">
        <v>0</v>
      </c>
      <c r="D1788" t="n">
        <v>1986.670986889335</v>
      </c>
      <c r="E1788">
        <f>C1788&lt;0.05</f>
        <v/>
      </c>
      <c r="F1788">
        <f>A1788=$B$5</f>
        <v/>
      </c>
      <c r="G1788">
        <f>IF(E1788,A1788,10^9)</f>
        <v/>
      </c>
      <c r="H1788">
        <f>IF(E1788,D1788,10^9)</f>
        <v/>
      </c>
    </row>
    <row r="1789">
      <c r="A1789" t="n">
        <v>1781</v>
      </c>
      <c r="B1789" t="n">
        <v>0</v>
      </c>
      <c r="C1789" t="n">
        <v>0</v>
      </c>
      <c r="D1789" t="n">
        <v>1987.670986889335</v>
      </c>
      <c r="E1789">
        <f>C1789&lt;0.05</f>
        <v/>
      </c>
      <c r="F1789">
        <f>A1789=$B$5</f>
        <v/>
      </c>
      <c r="G1789">
        <f>IF(E1789,A1789,10^9)</f>
        <v/>
      </c>
      <c r="H1789">
        <f>IF(E1789,D1789,10^9)</f>
        <v/>
      </c>
    </row>
    <row r="1790">
      <c r="A1790" t="n">
        <v>1782</v>
      </c>
      <c r="B1790" t="n">
        <v>0</v>
      </c>
      <c r="C1790" t="n">
        <v>0</v>
      </c>
      <c r="D1790" t="n">
        <v>1988.670986889335</v>
      </c>
      <c r="E1790">
        <f>C1790&lt;0.05</f>
        <v/>
      </c>
      <c r="F1790">
        <f>A1790=$B$5</f>
        <v/>
      </c>
      <c r="G1790">
        <f>IF(E1790,A1790,10^9)</f>
        <v/>
      </c>
      <c r="H1790">
        <f>IF(E1790,D1790,10^9)</f>
        <v/>
      </c>
    </row>
    <row r="1791">
      <c r="A1791" t="n">
        <v>1783</v>
      </c>
      <c r="B1791" t="n">
        <v>0</v>
      </c>
      <c r="C1791" t="n">
        <v>0</v>
      </c>
      <c r="D1791" t="n">
        <v>1989.670986889335</v>
      </c>
      <c r="E1791">
        <f>C1791&lt;0.05</f>
        <v/>
      </c>
      <c r="F1791">
        <f>A1791=$B$5</f>
        <v/>
      </c>
      <c r="G1791">
        <f>IF(E1791,A1791,10^9)</f>
        <v/>
      </c>
      <c r="H1791">
        <f>IF(E1791,D1791,10^9)</f>
        <v/>
      </c>
    </row>
    <row r="1792">
      <c r="A1792" t="n">
        <v>1784</v>
      </c>
      <c r="B1792" t="n">
        <v>0</v>
      </c>
      <c r="C1792" t="n">
        <v>0</v>
      </c>
      <c r="D1792" t="n">
        <v>1990.670986889335</v>
      </c>
      <c r="E1792">
        <f>C1792&lt;0.05</f>
        <v/>
      </c>
      <c r="F1792">
        <f>A1792=$B$5</f>
        <v/>
      </c>
      <c r="G1792">
        <f>IF(E1792,A1792,10^9)</f>
        <v/>
      </c>
      <c r="H1792">
        <f>IF(E1792,D1792,10^9)</f>
        <v/>
      </c>
    </row>
    <row r="1793">
      <c r="A1793" t="n">
        <v>1785</v>
      </c>
      <c r="B1793" t="n">
        <v>0</v>
      </c>
      <c r="C1793" t="n">
        <v>0</v>
      </c>
      <c r="D1793" t="n">
        <v>1991.670986889335</v>
      </c>
      <c r="E1793">
        <f>C1793&lt;0.05</f>
        <v/>
      </c>
      <c r="F1793">
        <f>A1793=$B$5</f>
        <v/>
      </c>
      <c r="G1793">
        <f>IF(E1793,A1793,10^9)</f>
        <v/>
      </c>
      <c r="H1793">
        <f>IF(E1793,D1793,10^9)</f>
        <v/>
      </c>
    </row>
    <row r="1794">
      <c r="A1794" t="n">
        <v>1786</v>
      </c>
      <c r="B1794" t="n">
        <v>0</v>
      </c>
      <c r="C1794" t="n">
        <v>0</v>
      </c>
      <c r="D1794" t="n">
        <v>1992.670986889335</v>
      </c>
      <c r="E1794">
        <f>C1794&lt;0.05</f>
        <v/>
      </c>
      <c r="F1794">
        <f>A1794=$B$5</f>
        <v/>
      </c>
      <c r="G1794">
        <f>IF(E1794,A1794,10^9)</f>
        <v/>
      </c>
      <c r="H1794">
        <f>IF(E1794,D1794,10^9)</f>
        <v/>
      </c>
    </row>
    <row r="1795">
      <c r="A1795" t="n">
        <v>1787</v>
      </c>
      <c r="B1795" t="n">
        <v>0</v>
      </c>
      <c r="C1795" t="n">
        <v>0</v>
      </c>
      <c r="D1795" t="n">
        <v>1993.670986889335</v>
      </c>
      <c r="E1795">
        <f>C1795&lt;0.05</f>
        <v/>
      </c>
      <c r="F1795">
        <f>A1795=$B$5</f>
        <v/>
      </c>
      <c r="G1795">
        <f>IF(E1795,A1795,10^9)</f>
        <v/>
      </c>
      <c r="H1795">
        <f>IF(E1795,D1795,10^9)</f>
        <v/>
      </c>
    </row>
    <row r="1796">
      <c r="A1796" t="n">
        <v>1788</v>
      </c>
      <c r="B1796" t="n">
        <v>0</v>
      </c>
      <c r="C1796" t="n">
        <v>0</v>
      </c>
      <c r="D1796" t="n">
        <v>1994.670986889335</v>
      </c>
      <c r="E1796">
        <f>C1796&lt;0.05</f>
        <v/>
      </c>
      <c r="F1796">
        <f>A1796=$B$5</f>
        <v/>
      </c>
      <c r="G1796">
        <f>IF(E1796,A1796,10^9)</f>
        <v/>
      </c>
      <c r="H1796">
        <f>IF(E1796,D1796,10^9)</f>
        <v/>
      </c>
    </row>
    <row r="1797">
      <c r="A1797" t="n">
        <v>1789</v>
      </c>
      <c r="B1797" t="n">
        <v>0</v>
      </c>
      <c r="C1797" t="n">
        <v>0</v>
      </c>
      <c r="D1797" t="n">
        <v>1995.670986889335</v>
      </c>
      <c r="E1797">
        <f>C1797&lt;0.05</f>
        <v/>
      </c>
      <c r="F1797">
        <f>A1797=$B$5</f>
        <v/>
      </c>
      <c r="G1797">
        <f>IF(E1797,A1797,10^9)</f>
        <v/>
      </c>
      <c r="H1797">
        <f>IF(E1797,D1797,10^9)</f>
        <v/>
      </c>
    </row>
    <row r="1798">
      <c r="A1798" t="n">
        <v>1790</v>
      </c>
      <c r="B1798" t="n">
        <v>0</v>
      </c>
      <c r="C1798" t="n">
        <v>0</v>
      </c>
      <c r="D1798" t="n">
        <v>1996.670986889335</v>
      </c>
      <c r="E1798">
        <f>C1798&lt;0.05</f>
        <v/>
      </c>
      <c r="F1798">
        <f>A1798=$B$5</f>
        <v/>
      </c>
      <c r="G1798">
        <f>IF(E1798,A1798,10^9)</f>
        <v/>
      </c>
      <c r="H1798">
        <f>IF(E1798,D1798,10^9)</f>
        <v/>
      </c>
    </row>
    <row r="1799">
      <c r="A1799" t="n">
        <v>1791</v>
      </c>
      <c r="B1799" t="n">
        <v>0</v>
      </c>
      <c r="C1799" t="n">
        <v>0</v>
      </c>
      <c r="D1799" t="n">
        <v>1997.670986889335</v>
      </c>
      <c r="E1799">
        <f>C1799&lt;0.05</f>
        <v/>
      </c>
      <c r="F1799">
        <f>A1799=$B$5</f>
        <v/>
      </c>
      <c r="G1799">
        <f>IF(E1799,A1799,10^9)</f>
        <v/>
      </c>
      <c r="H1799">
        <f>IF(E1799,D1799,10^9)</f>
        <v/>
      </c>
    </row>
    <row r="1800">
      <c r="A1800" t="n">
        <v>1792</v>
      </c>
      <c r="B1800" t="n">
        <v>0</v>
      </c>
      <c r="C1800" t="n">
        <v>0</v>
      </c>
      <c r="D1800" t="n">
        <v>1998.670986889335</v>
      </c>
      <c r="E1800">
        <f>C1800&lt;0.05</f>
        <v/>
      </c>
      <c r="F1800">
        <f>A1800=$B$5</f>
        <v/>
      </c>
      <c r="G1800">
        <f>IF(E1800,A1800,10^9)</f>
        <v/>
      </c>
      <c r="H1800">
        <f>IF(E1800,D1800,10^9)</f>
        <v/>
      </c>
    </row>
    <row r="1801">
      <c r="A1801" t="n">
        <v>1793</v>
      </c>
      <c r="B1801" t="n">
        <v>0</v>
      </c>
      <c r="C1801" t="n">
        <v>0</v>
      </c>
      <c r="D1801" t="n">
        <v>1999.670986889335</v>
      </c>
      <c r="E1801">
        <f>C1801&lt;0.05</f>
        <v/>
      </c>
      <c r="F1801">
        <f>A1801=$B$5</f>
        <v/>
      </c>
      <c r="G1801">
        <f>IF(E1801,A1801,10^9)</f>
        <v/>
      </c>
      <c r="H1801">
        <f>IF(E1801,D1801,10^9)</f>
        <v/>
      </c>
    </row>
    <row r="1802">
      <c r="A1802" t="n">
        <v>1794</v>
      </c>
      <c r="B1802" t="n">
        <v>0</v>
      </c>
      <c r="C1802" t="n">
        <v>0</v>
      </c>
      <c r="D1802" t="n">
        <v>2000.670986889335</v>
      </c>
      <c r="E1802">
        <f>C1802&lt;0.05</f>
        <v/>
      </c>
      <c r="F1802">
        <f>A1802=$B$5</f>
        <v/>
      </c>
      <c r="G1802">
        <f>IF(E1802,A1802,10^9)</f>
        <v/>
      </c>
      <c r="H1802">
        <f>IF(E1802,D1802,10^9)</f>
        <v/>
      </c>
    </row>
    <row r="1803">
      <c r="A1803" t="n">
        <v>1795</v>
      </c>
      <c r="B1803" t="n">
        <v>0</v>
      </c>
      <c r="C1803" t="n">
        <v>0</v>
      </c>
      <c r="D1803" t="n">
        <v>2001.670986889335</v>
      </c>
      <c r="E1803">
        <f>C1803&lt;0.05</f>
        <v/>
      </c>
      <c r="F1803">
        <f>A1803=$B$5</f>
        <v/>
      </c>
      <c r="G1803">
        <f>IF(E1803,A1803,10^9)</f>
        <v/>
      </c>
      <c r="H1803">
        <f>IF(E1803,D1803,10^9)</f>
        <v/>
      </c>
    </row>
    <row r="1804">
      <c r="A1804" t="n">
        <v>1796</v>
      </c>
      <c r="B1804" t="n">
        <v>0</v>
      </c>
      <c r="C1804" t="n">
        <v>0</v>
      </c>
      <c r="D1804" t="n">
        <v>2002.670986889335</v>
      </c>
      <c r="E1804">
        <f>C1804&lt;0.05</f>
        <v/>
      </c>
      <c r="F1804">
        <f>A1804=$B$5</f>
        <v/>
      </c>
      <c r="G1804">
        <f>IF(E1804,A1804,10^9)</f>
        <v/>
      </c>
      <c r="H1804">
        <f>IF(E1804,D1804,10^9)</f>
        <v/>
      </c>
    </row>
    <row r="1805">
      <c r="A1805" t="n">
        <v>1797</v>
      </c>
      <c r="B1805" t="n">
        <v>0</v>
      </c>
      <c r="C1805" t="n">
        <v>0</v>
      </c>
      <c r="D1805" t="n">
        <v>2003.670986889335</v>
      </c>
      <c r="E1805">
        <f>C1805&lt;0.05</f>
        <v/>
      </c>
      <c r="F1805">
        <f>A1805=$B$5</f>
        <v/>
      </c>
      <c r="G1805">
        <f>IF(E1805,A1805,10^9)</f>
        <v/>
      </c>
      <c r="H1805">
        <f>IF(E1805,D1805,10^9)</f>
        <v/>
      </c>
    </row>
    <row r="1806">
      <c r="A1806" t="n">
        <v>1798</v>
      </c>
      <c r="B1806" t="n">
        <v>0</v>
      </c>
      <c r="C1806" t="n">
        <v>0</v>
      </c>
      <c r="D1806" t="n">
        <v>2004.670986889335</v>
      </c>
      <c r="E1806">
        <f>C1806&lt;0.05</f>
        <v/>
      </c>
      <c r="F1806">
        <f>A1806=$B$5</f>
        <v/>
      </c>
      <c r="G1806">
        <f>IF(E1806,A1806,10^9)</f>
        <v/>
      </c>
      <c r="H1806">
        <f>IF(E1806,D1806,10^9)</f>
        <v/>
      </c>
    </row>
    <row r="1807">
      <c r="A1807" t="n">
        <v>1799</v>
      </c>
      <c r="B1807" t="n">
        <v>0</v>
      </c>
      <c r="C1807" t="n">
        <v>0</v>
      </c>
      <c r="D1807" t="n">
        <v>2005.670986889335</v>
      </c>
      <c r="E1807">
        <f>C1807&lt;0.05</f>
        <v/>
      </c>
      <c r="F1807">
        <f>A1807=$B$5</f>
        <v/>
      </c>
      <c r="G1807">
        <f>IF(E1807,A1807,10^9)</f>
        <v/>
      </c>
      <c r="H1807">
        <f>IF(E1807,D1807,10^9)</f>
        <v/>
      </c>
    </row>
    <row r="1808">
      <c r="A1808" t="n">
        <v>1800</v>
      </c>
      <c r="B1808" t="n">
        <v>0</v>
      </c>
      <c r="C1808" t="n">
        <v>0</v>
      </c>
      <c r="D1808" t="n">
        <v>2006.670986889335</v>
      </c>
      <c r="E1808">
        <f>C1808&lt;0.05</f>
        <v/>
      </c>
      <c r="F1808">
        <f>A1808=$B$5</f>
        <v/>
      </c>
      <c r="G1808">
        <f>IF(E1808,A1808,10^9)</f>
        <v/>
      </c>
      <c r="H1808">
        <f>IF(E1808,D1808,10^9)</f>
        <v/>
      </c>
    </row>
    <row r="1809">
      <c r="A1809" t="n">
        <v>1801</v>
      </c>
      <c r="B1809" t="n">
        <v>0</v>
      </c>
      <c r="C1809" t="n">
        <v>0</v>
      </c>
      <c r="D1809" t="n">
        <v>2007.670986889335</v>
      </c>
      <c r="E1809">
        <f>C1809&lt;0.05</f>
        <v/>
      </c>
      <c r="F1809">
        <f>A1809=$B$5</f>
        <v/>
      </c>
      <c r="G1809">
        <f>IF(E1809,A1809,10^9)</f>
        <v/>
      </c>
      <c r="H1809">
        <f>IF(E1809,D1809,10^9)</f>
        <v/>
      </c>
    </row>
    <row r="1810">
      <c r="A1810" t="n">
        <v>1802</v>
      </c>
      <c r="B1810" t="n">
        <v>0</v>
      </c>
      <c r="C1810" t="n">
        <v>0</v>
      </c>
      <c r="D1810" t="n">
        <v>2008.670986889335</v>
      </c>
      <c r="E1810">
        <f>C1810&lt;0.05</f>
        <v/>
      </c>
      <c r="F1810">
        <f>A1810=$B$5</f>
        <v/>
      </c>
      <c r="G1810">
        <f>IF(E1810,A1810,10^9)</f>
        <v/>
      </c>
      <c r="H1810">
        <f>IF(E1810,D1810,10^9)</f>
        <v/>
      </c>
    </row>
    <row r="1811">
      <c r="A1811" t="n">
        <v>1803</v>
      </c>
      <c r="B1811" t="n">
        <v>0</v>
      </c>
      <c r="C1811" t="n">
        <v>0</v>
      </c>
      <c r="D1811" t="n">
        <v>2009.670986889335</v>
      </c>
      <c r="E1811">
        <f>C1811&lt;0.05</f>
        <v/>
      </c>
      <c r="F1811">
        <f>A1811=$B$5</f>
        <v/>
      </c>
      <c r="G1811">
        <f>IF(E1811,A1811,10^9)</f>
        <v/>
      </c>
      <c r="H1811">
        <f>IF(E1811,D1811,10^9)</f>
        <v/>
      </c>
    </row>
    <row r="1812">
      <c r="A1812" t="n">
        <v>1804</v>
      </c>
      <c r="B1812" t="n">
        <v>0</v>
      </c>
      <c r="C1812" t="n">
        <v>0</v>
      </c>
      <c r="D1812" t="n">
        <v>2010.670986889335</v>
      </c>
      <c r="E1812">
        <f>C1812&lt;0.05</f>
        <v/>
      </c>
      <c r="F1812">
        <f>A1812=$B$5</f>
        <v/>
      </c>
      <c r="G1812">
        <f>IF(E1812,A1812,10^9)</f>
        <v/>
      </c>
      <c r="H1812">
        <f>IF(E1812,D1812,10^9)</f>
        <v/>
      </c>
    </row>
    <row r="1813">
      <c r="A1813" t="n">
        <v>1805</v>
      </c>
      <c r="B1813" t="n">
        <v>0</v>
      </c>
      <c r="C1813" t="n">
        <v>0</v>
      </c>
      <c r="D1813" t="n">
        <v>2011.670986889335</v>
      </c>
      <c r="E1813">
        <f>C1813&lt;0.05</f>
        <v/>
      </c>
      <c r="F1813">
        <f>A1813=$B$5</f>
        <v/>
      </c>
      <c r="G1813">
        <f>IF(E1813,A1813,10^9)</f>
        <v/>
      </c>
      <c r="H1813">
        <f>IF(E1813,D1813,10^9)</f>
        <v/>
      </c>
    </row>
    <row r="1814">
      <c r="A1814" t="n">
        <v>1806</v>
      </c>
      <c r="B1814" t="n">
        <v>0</v>
      </c>
      <c r="C1814" t="n">
        <v>0</v>
      </c>
      <c r="D1814" t="n">
        <v>2012.670986889335</v>
      </c>
      <c r="E1814">
        <f>C1814&lt;0.05</f>
        <v/>
      </c>
      <c r="F1814">
        <f>A1814=$B$5</f>
        <v/>
      </c>
      <c r="G1814">
        <f>IF(E1814,A1814,10^9)</f>
        <v/>
      </c>
      <c r="H1814">
        <f>IF(E1814,D1814,10^9)</f>
        <v/>
      </c>
    </row>
    <row r="1815">
      <c r="A1815" t="n">
        <v>1807</v>
      </c>
      <c r="B1815" t="n">
        <v>0</v>
      </c>
      <c r="C1815" t="n">
        <v>0</v>
      </c>
      <c r="D1815" t="n">
        <v>2013.670986889335</v>
      </c>
      <c r="E1815">
        <f>C1815&lt;0.05</f>
        <v/>
      </c>
      <c r="F1815">
        <f>A1815=$B$5</f>
        <v/>
      </c>
      <c r="G1815">
        <f>IF(E1815,A1815,10^9)</f>
        <v/>
      </c>
      <c r="H1815">
        <f>IF(E1815,D1815,10^9)</f>
        <v/>
      </c>
    </row>
    <row r="1816">
      <c r="A1816" t="n">
        <v>1808</v>
      </c>
      <c r="B1816" t="n">
        <v>0</v>
      </c>
      <c r="C1816" t="n">
        <v>0</v>
      </c>
      <c r="D1816" t="n">
        <v>2014.670986889335</v>
      </c>
      <c r="E1816">
        <f>C1816&lt;0.05</f>
        <v/>
      </c>
      <c r="F1816">
        <f>A1816=$B$5</f>
        <v/>
      </c>
      <c r="G1816">
        <f>IF(E1816,A1816,10^9)</f>
        <v/>
      </c>
      <c r="H1816">
        <f>IF(E1816,D1816,10^9)</f>
        <v/>
      </c>
    </row>
    <row r="1817">
      <c r="A1817" t="n">
        <v>1809</v>
      </c>
      <c r="B1817" t="n">
        <v>0</v>
      </c>
      <c r="C1817" t="n">
        <v>0</v>
      </c>
      <c r="D1817" t="n">
        <v>2015.670986889335</v>
      </c>
      <c r="E1817">
        <f>C1817&lt;0.05</f>
        <v/>
      </c>
      <c r="F1817">
        <f>A1817=$B$5</f>
        <v/>
      </c>
      <c r="G1817">
        <f>IF(E1817,A1817,10^9)</f>
        <v/>
      </c>
      <c r="H1817">
        <f>IF(E1817,D1817,10^9)</f>
        <v/>
      </c>
    </row>
    <row r="1818">
      <c r="A1818" t="n">
        <v>1810</v>
      </c>
      <c r="B1818" t="n">
        <v>0</v>
      </c>
      <c r="C1818" t="n">
        <v>0</v>
      </c>
      <c r="D1818" t="n">
        <v>2016.670986889335</v>
      </c>
      <c r="E1818">
        <f>C1818&lt;0.05</f>
        <v/>
      </c>
      <c r="F1818">
        <f>A1818=$B$5</f>
        <v/>
      </c>
      <c r="G1818">
        <f>IF(E1818,A1818,10^9)</f>
        <v/>
      </c>
      <c r="H1818">
        <f>IF(E1818,D1818,10^9)</f>
        <v/>
      </c>
    </row>
    <row r="1819">
      <c r="A1819" t="n">
        <v>1811</v>
      </c>
      <c r="B1819" t="n">
        <v>0</v>
      </c>
      <c r="C1819" t="n">
        <v>0</v>
      </c>
      <c r="D1819" t="n">
        <v>2017.670986889335</v>
      </c>
      <c r="E1819">
        <f>C1819&lt;0.05</f>
        <v/>
      </c>
      <c r="F1819">
        <f>A1819=$B$5</f>
        <v/>
      </c>
      <c r="G1819">
        <f>IF(E1819,A1819,10^9)</f>
        <v/>
      </c>
      <c r="H1819">
        <f>IF(E1819,D1819,10^9)</f>
        <v/>
      </c>
    </row>
    <row r="1820">
      <c r="A1820" t="n">
        <v>1812</v>
      </c>
      <c r="B1820" t="n">
        <v>0</v>
      </c>
      <c r="C1820" t="n">
        <v>0</v>
      </c>
      <c r="D1820" t="n">
        <v>2018.670986889335</v>
      </c>
      <c r="E1820">
        <f>C1820&lt;0.05</f>
        <v/>
      </c>
      <c r="F1820">
        <f>A1820=$B$5</f>
        <v/>
      </c>
      <c r="G1820">
        <f>IF(E1820,A1820,10^9)</f>
        <v/>
      </c>
      <c r="H1820">
        <f>IF(E1820,D1820,10^9)</f>
        <v/>
      </c>
    </row>
    <row r="1821">
      <c r="A1821" t="n">
        <v>1813</v>
      </c>
      <c r="B1821" t="n">
        <v>0</v>
      </c>
      <c r="C1821" t="n">
        <v>0</v>
      </c>
      <c r="D1821" t="n">
        <v>2019.670986889335</v>
      </c>
      <c r="E1821">
        <f>C1821&lt;0.05</f>
        <v/>
      </c>
      <c r="F1821">
        <f>A1821=$B$5</f>
        <v/>
      </c>
      <c r="G1821">
        <f>IF(E1821,A1821,10^9)</f>
        <v/>
      </c>
      <c r="H1821">
        <f>IF(E1821,D1821,10^9)</f>
        <v/>
      </c>
    </row>
    <row r="1822">
      <c r="A1822" t="n">
        <v>1814</v>
      </c>
      <c r="B1822" t="n">
        <v>0</v>
      </c>
      <c r="C1822" t="n">
        <v>0</v>
      </c>
      <c r="D1822" t="n">
        <v>2020.670986889335</v>
      </c>
      <c r="E1822">
        <f>C1822&lt;0.05</f>
        <v/>
      </c>
      <c r="F1822">
        <f>A1822=$B$5</f>
        <v/>
      </c>
      <c r="G1822">
        <f>IF(E1822,A1822,10^9)</f>
        <v/>
      </c>
      <c r="H1822">
        <f>IF(E1822,D1822,10^9)</f>
        <v/>
      </c>
    </row>
    <row r="1823">
      <c r="A1823" t="n">
        <v>1815</v>
      </c>
      <c r="B1823" t="n">
        <v>0</v>
      </c>
      <c r="C1823" t="n">
        <v>0</v>
      </c>
      <c r="D1823" t="n">
        <v>2021.670986889335</v>
      </c>
      <c r="E1823">
        <f>C1823&lt;0.05</f>
        <v/>
      </c>
      <c r="F1823">
        <f>A1823=$B$5</f>
        <v/>
      </c>
      <c r="G1823">
        <f>IF(E1823,A1823,10^9)</f>
        <v/>
      </c>
      <c r="H1823">
        <f>IF(E1823,D1823,10^9)</f>
        <v/>
      </c>
    </row>
    <row r="1824">
      <c r="A1824" t="n">
        <v>1816</v>
      </c>
      <c r="B1824" t="n">
        <v>0</v>
      </c>
      <c r="C1824" t="n">
        <v>0</v>
      </c>
      <c r="D1824" t="n">
        <v>2022.670986889335</v>
      </c>
      <c r="E1824">
        <f>C1824&lt;0.05</f>
        <v/>
      </c>
      <c r="F1824">
        <f>A1824=$B$5</f>
        <v/>
      </c>
      <c r="G1824">
        <f>IF(E1824,A1824,10^9)</f>
        <v/>
      </c>
      <c r="H1824">
        <f>IF(E1824,D1824,10^9)</f>
        <v/>
      </c>
    </row>
    <row r="1825">
      <c r="A1825" t="n">
        <v>1817</v>
      </c>
      <c r="B1825" t="n">
        <v>0</v>
      </c>
      <c r="C1825" t="n">
        <v>0</v>
      </c>
      <c r="D1825" t="n">
        <v>2023.670986889335</v>
      </c>
      <c r="E1825">
        <f>C1825&lt;0.05</f>
        <v/>
      </c>
      <c r="F1825">
        <f>A1825=$B$5</f>
        <v/>
      </c>
      <c r="G1825">
        <f>IF(E1825,A1825,10^9)</f>
        <v/>
      </c>
      <c r="H1825">
        <f>IF(E1825,D1825,10^9)</f>
        <v/>
      </c>
    </row>
    <row r="1826">
      <c r="A1826" t="n">
        <v>1818</v>
      </c>
      <c r="B1826" t="n">
        <v>0</v>
      </c>
      <c r="C1826" t="n">
        <v>0</v>
      </c>
      <c r="D1826" t="n">
        <v>2024.670986889335</v>
      </c>
      <c r="E1826">
        <f>C1826&lt;0.05</f>
        <v/>
      </c>
      <c r="F1826">
        <f>A1826=$B$5</f>
        <v/>
      </c>
      <c r="G1826">
        <f>IF(E1826,A1826,10^9)</f>
        <v/>
      </c>
      <c r="H1826">
        <f>IF(E1826,D1826,10^9)</f>
        <v/>
      </c>
    </row>
    <row r="1827">
      <c r="A1827" t="n">
        <v>1819</v>
      </c>
      <c r="B1827" t="n">
        <v>0</v>
      </c>
      <c r="C1827" t="n">
        <v>0</v>
      </c>
      <c r="D1827" t="n">
        <v>2025.670986889335</v>
      </c>
      <c r="E1827">
        <f>C1827&lt;0.05</f>
        <v/>
      </c>
      <c r="F1827">
        <f>A1827=$B$5</f>
        <v/>
      </c>
      <c r="G1827">
        <f>IF(E1827,A1827,10^9)</f>
        <v/>
      </c>
      <c r="H1827">
        <f>IF(E1827,D1827,10^9)</f>
        <v/>
      </c>
    </row>
    <row r="1828">
      <c r="A1828" t="n">
        <v>1820</v>
      </c>
      <c r="B1828" t="n">
        <v>0</v>
      </c>
      <c r="C1828" t="n">
        <v>0</v>
      </c>
      <c r="D1828" t="n">
        <v>2026.670986889335</v>
      </c>
      <c r="E1828">
        <f>C1828&lt;0.05</f>
        <v/>
      </c>
      <c r="F1828">
        <f>A1828=$B$5</f>
        <v/>
      </c>
      <c r="G1828">
        <f>IF(E1828,A1828,10^9)</f>
        <v/>
      </c>
      <c r="H1828">
        <f>IF(E1828,D1828,10^9)</f>
        <v/>
      </c>
    </row>
    <row r="1829">
      <c r="A1829" t="n">
        <v>1821</v>
      </c>
      <c r="B1829" t="n">
        <v>0</v>
      </c>
      <c r="C1829" t="n">
        <v>0</v>
      </c>
      <c r="D1829" t="n">
        <v>2027.670986889335</v>
      </c>
      <c r="E1829">
        <f>C1829&lt;0.05</f>
        <v/>
      </c>
      <c r="F1829">
        <f>A1829=$B$5</f>
        <v/>
      </c>
      <c r="G1829">
        <f>IF(E1829,A1829,10^9)</f>
        <v/>
      </c>
      <c r="H1829">
        <f>IF(E1829,D1829,10^9)</f>
        <v/>
      </c>
    </row>
    <row r="1830">
      <c r="A1830" t="n">
        <v>1822</v>
      </c>
      <c r="B1830" t="n">
        <v>0</v>
      </c>
      <c r="C1830" t="n">
        <v>0</v>
      </c>
      <c r="D1830" t="n">
        <v>2028.670986889335</v>
      </c>
      <c r="E1830">
        <f>C1830&lt;0.05</f>
        <v/>
      </c>
      <c r="F1830">
        <f>A1830=$B$5</f>
        <v/>
      </c>
      <c r="G1830">
        <f>IF(E1830,A1830,10^9)</f>
        <v/>
      </c>
      <c r="H1830">
        <f>IF(E1830,D1830,10^9)</f>
        <v/>
      </c>
    </row>
    <row r="1831">
      <c r="A1831" t="n">
        <v>1823</v>
      </c>
      <c r="B1831" t="n">
        <v>0</v>
      </c>
      <c r="C1831" t="n">
        <v>0</v>
      </c>
      <c r="D1831" t="n">
        <v>2029.670986889335</v>
      </c>
      <c r="E1831">
        <f>C1831&lt;0.05</f>
        <v/>
      </c>
      <c r="F1831">
        <f>A1831=$B$5</f>
        <v/>
      </c>
      <c r="G1831">
        <f>IF(E1831,A1831,10^9)</f>
        <v/>
      </c>
      <c r="H1831">
        <f>IF(E1831,D1831,10^9)</f>
        <v/>
      </c>
    </row>
    <row r="1832">
      <c r="A1832" t="n">
        <v>1824</v>
      </c>
      <c r="B1832" t="n">
        <v>0</v>
      </c>
      <c r="C1832" t="n">
        <v>0</v>
      </c>
      <c r="D1832" t="n">
        <v>2030.670986889335</v>
      </c>
      <c r="E1832">
        <f>C1832&lt;0.05</f>
        <v/>
      </c>
      <c r="F1832">
        <f>A1832=$B$5</f>
        <v/>
      </c>
      <c r="G1832">
        <f>IF(E1832,A1832,10^9)</f>
        <v/>
      </c>
      <c r="H1832">
        <f>IF(E1832,D1832,10^9)</f>
        <v/>
      </c>
    </row>
    <row r="1833">
      <c r="A1833" t="n">
        <v>1825</v>
      </c>
      <c r="B1833" t="n">
        <v>0</v>
      </c>
      <c r="C1833" t="n">
        <v>0</v>
      </c>
      <c r="D1833" t="n">
        <v>2031.670986889335</v>
      </c>
      <c r="E1833">
        <f>C1833&lt;0.05</f>
        <v/>
      </c>
      <c r="F1833">
        <f>A1833=$B$5</f>
        <v/>
      </c>
      <c r="G1833">
        <f>IF(E1833,A1833,10^9)</f>
        <v/>
      </c>
      <c r="H1833">
        <f>IF(E1833,D1833,10^9)</f>
        <v/>
      </c>
    </row>
    <row r="1834">
      <c r="A1834" t="n">
        <v>1826</v>
      </c>
      <c r="B1834" t="n">
        <v>0</v>
      </c>
      <c r="C1834" t="n">
        <v>0</v>
      </c>
      <c r="D1834" t="n">
        <v>2032.670986889335</v>
      </c>
      <c r="E1834">
        <f>C1834&lt;0.05</f>
        <v/>
      </c>
      <c r="F1834">
        <f>A1834=$B$5</f>
        <v/>
      </c>
      <c r="G1834">
        <f>IF(E1834,A1834,10^9)</f>
        <v/>
      </c>
      <c r="H1834">
        <f>IF(E1834,D1834,10^9)</f>
        <v/>
      </c>
    </row>
    <row r="1835">
      <c r="A1835" t="n">
        <v>1827</v>
      </c>
      <c r="B1835" t="n">
        <v>0</v>
      </c>
      <c r="C1835" t="n">
        <v>0</v>
      </c>
      <c r="D1835" t="n">
        <v>2033.670986889335</v>
      </c>
      <c r="E1835">
        <f>C1835&lt;0.05</f>
        <v/>
      </c>
      <c r="F1835">
        <f>A1835=$B$5</f>
        <v/>
      </c>
      <c r="G1835">
        <f>IF(E1835,A1835,10^9)</f>
        <v/>
      </c>
      <c r="H1835">
        <f>IF(E1835,D1835,10^9)</f>
        <v/>
      </c>
    </row>
    <row r="1836">
      <c r="A1836" t="n">
        <v>1828</v>
      </c>
      <c r="B1836" t="n">
        <v>0</v>
      </c>
      <c r="C1836" t="n">
        <v>0</v>
      </c>
      <c r="D1836" t="n">
        <v>2034.670986889335</v>
      </c>
      <c r="E1836">
        <f>C1836&lt;0.05</f>
        <v/>
      </c>
      <c r="F1836">
        <f>A1836=$B$5</f>
        <v/>
      </c>
      <c r="G1836">
        <f>IF(E1836,A1836,10^9)</f>
        <v/>
      </c>
      <c r="H1836">
        <f>IF(E1836,D1836,10^9)</f>
        <v/>
      </c>
    </row>
    <row r="1837">
      <c r="A1837" t="n">
        <v>1829</v>
      </c>
      <c r="B1837" t="n">
        <v>0</v>
      </c>
      <c r="C1837" t="n">
        <v>0</v>
      </c>
      <c r="D1837" t="n">
        <v>2035.670986889335</v>
      </c>
      <c r="E1837">
        <f>C1837&lt;0.05</f>
        <v/>
      </c>
      <c r="F1837">
        <f>A1837=$B$5</f>
        <v/>
      </c>
      <c r="G1837">
        <f>IF(E1837,A1837,10^9)</f>
        <v/>
      </c>
      <c r="H1837">
        <f>IF(E1837,D1837,10^9)</f>
        <v/>
      </c>
    </row>
    <row r="1838">
      <c r="A1838" t="n">
        <v>1830</v>
      </c>
      <c r="B1838" t="n">
        <v>0</v>
      </c>
      <c r="C1838" t="n">
        <v>0</v>
      </c>
      <c r="D1838" t="n">
        <v>2036.670986889335</v>
      </c>
      <c r="E1838">
        <f>C1838&lt;0.05</f>
        <v/>
      </c>
      <c r="F1838">
        <f>A1838=$B$5</f>
        <v/>
      </c>
      <c r="G1838">
        <f>IF(E1838,A1838,10^9)</f>
        <v/>
      </c>
      <c r="H1838">
        <f>IF(E1838,D1838,10^9)</f>
        <v/>
      </c>
    </row>
    <row r="1839">
      <c r="A1839" t="n">
        <v>1831</v>
      </c>
      <c r="B1839" t="n">
        <v>0</v>
      </c>
      <c r="C1839" t="n">
        <v>0</v>
      </c>
      <c r="D1839" t="n">
        <v>2037.670986889335</v>
      </c>
      <c r="E1839">
        <f>C1839&lt;0.05</f>
        <v/>
      </c>
      <c r="F1839">
        <f>A1839=$B$5</f>
        <v/>
      </c>
      <c r="G1839">
        <f>IF(E1839,A1839,10^9)</f>
        <v/>
      </c>
      <c r="H1839">
        <f>IF(E1839,D1839,10^9)</f>
        <v/>
      </c>
    </row>
    <row r="1840">
      <c r="A1840" t="n">
        <v>1832</v>
      </c>
      <c r="B1840" t="n">
        <v>0</v>
      </c>
      <c r="C1840" t="n">
        <v>0</v>
      </c>
      <c r="D1840" t="n">
        <v>2038.670986889335</v>
      </c>
      <c r="E1840">
        <f>C1840&lt;0.05</f>
        <v/>
      </c>
      <c r="F1840">
        <f>A1840=$B$5</f>
        <v/>
      </c>
      <c r="G1840">
        <f>IF(E1840,A1840,10^9)</f>
        <v/>
      </c>
      <c r="H1840">
        <f>IF(E1840,D1840,10^9)</f>
        <v/>
      </c>
    </row>
    <row r="1841">
      <c r="A1841" t="n">
        <v>1833</v>
      </c>
      <c r="B1841" t="n">
        <v>0</v>
      </c>
      <c r="C1841" t="n">
        <v>0</v>
      </c>
      <c r="D1841" t="n">
        <v>2039.670986889335</v>
      </c>
      <c r="E1841">
        <f>C1841&lt;0.05</f>
        <v/>
      </c>
      <c r="F1841">
        <f>A1841=$B$5</f>
        <v/>
      </c>
      <c r="G1841">
        <f>IF(E1841,A1841,10^9)</f>
        <v/>
      </c>
      <c r="H1841">
        <f>IF(E1841,D1841,10^9)</f>
        <v/>
      </c>
    </row>
    <row r="1842">
      <c r="A1842" t="n">
        <v>1834</v>
      </c>
      <c r="B1842" t="n">
        <v>0</v>
      </c>
      <c r="C1842" t="n">
        <v>0</v>
      </c>
      <c r="D1842" t="n">
        <v>2040.670986889335</v>
      </c>
      <c r="E1842">
        <f>C1842&lt;0.05</f>
        <v/>
      </c>
      <c r="F1842">
        <f>A1842=$B$5</f>
        <v/>
      </c>
      <c r="G1842">
        <f>IF(E1842,A1842,10^9)</f>
        <v/>
      </c>
      <c r="H1842">
        <f>IF(E1842,D1842,10^9)</f>
        <v/>
      </c>
    </row>
    <row r="1843">
      <c r="A1843" t="n">
        <v>1835</v>
      </c>
      <c r="B1843" t="n">
        <v>0</v>
      </c>
      <c r="C1843" t="n">
        <v>0</v>
      </c>
      <c r="D1843" t="n">
        <v>2041.670986889335</v>
      </c>
      <c r="E1843">
        <f>C1843&lt;0.05</f>
        <v/>
      </c>
      <c r="F1843">
        <f>A1843=$B$5</f>
        <v/>
      </c>
      <c r="G1843">
        <f>IF(E1843,A1843,10^9)</f>
        <v/>
      </c>
      <c r="H1843">
        <f>IF(E1843,D1843,10^9)</f>
        <v/>
      </c>
    </row>
    <row r="1844">
      <c r="A1844" t="n">
        <v>1836</v>
      </c>
      <c r="B1844" t="n">
        <v>0</v>
      </c>
      <c r="C1844" t="n">
        <v>0</v>
      </c>
      <c r="D1844" t="n">
        <v>2042.670986889335</v>
      </c>
      <c r="E1844">
        <f>C1844&lt;0.05</f>
        <v/>
      </c>
      <c r="F1844">
        <f>A1844=$B$5</f>
        <v/>
      </c>
      <c r="G1844">
        <f>IF(E1844,A1844,10^9)</f>
        <v/>
      </c>
      <c r="H1844">
        <f>IF(E1844,D1844,10^9)</f>
        <v/>
      </c>
    </row>
    <row r="1845">
      <c r="A1845" t="n">
        <v>1837</v>
      </c>
      <c r="B1845" t="n">
        <v>0</v>
      </c>
      <c r="C1845" t="n">
        <v>0</v>
      </c>
      <c r="D1845" t="n">
        <v>2043.670986889335</v>
      </c>
      <c r="E1845">
        <f>C1845&lt;0.05</f>
        <v/>
      </c>
      <c r="F1845">
        <f>A1845=$B$5</f>
        <v/>
      </c>
      <c r="G1845">
        <f>IF(E1845,A1845,10^9)</f>
        <v/>
      </c>
      <c r="H1845">
        <f>IF(E1845,D1845,10^9)</f>
        <v/>
      </c>
    </row>
    <row r="1846">
      <c r="A1846" t="n">
        <v>1838</v>
      </c>
      <c r="B1846" t="n">
        <v>0</v>
      </c>
      <c r="C1846" t="n">
        <v>0</v>
      </c>
      <c r="D1846" t="n">
        <v>2044.670986889335</v>
      </c>
      <c r="E1846">
        <f>C1846&lt;0.05</f>
        <v/>
      </c>
      <c r="F1846">
        <f>A1846=$B$5</f>
        <v/>
      </c>
      <c r="G1846">
        <f>IF(E1846,A1846,10^9)</f>
        <v/>
      </c>
      <c r="H1846">
        <f>IF(E1846,D1846,10^9)</f>
        <v/>
      </c>
    </row>
    <row r="1847">
      <c r="A1847" t="n">
        <v>1839</v>
      </c>
      <c r="B1847" t="n">
        <v>0</v>
      </c>
      <c r="C1847" t="n">
        <v>0</v>
      </c>
      <c r="D1847" t="n">
        <v>2045.670986889335</v>
      </c>
      <c r="E1847">
        <f>C1847&lt;0.05</f>
        <v/>
      </c>
      <c r="F1847">
        <f>A1847=$B$5</f>
        <v/>
      </c>
      <c r="G1847">
        <f>IF(E1847,A1847,10^9)</f>
        <v/>
      </c>
      <c r="H1847">
        <f>IF(E1847,D1847,10^9)</f>
        <v/>
      </c>
    </row>
    <row r="1848">
      <c r="A1848" t="n">
        <v>1840</v>
      </c>
      <c r="B1848" t="n">
        <v>0</v>
      </c>
      <c r="C1848" t="n">
        <v>0</v>
      </c>
      <c r="D1848" t="n">
        <v>2046.670986889335</v>
      </c>
      <c r="E1848">
        <f>C1848&lt;0.05</f>
        <v/>
      </c>
      <c r="F1848">
        <f>A1848=$B$5</f>
        <v/>
      </c>
      <c r="G1848">
        <f>IF(E1848,A1848,10^9)</f>
        <v/>
      </c>
      <c r="H1848">
        <f>IF(E1848,D1848,10^9)</f>
        <v/>
      </c>
    </row>
    <row r="1849">
      <c r="A1849" t="n">
        <v>1841</v>
      </c>
      <c r="B1849" t="n">
        <v>0</v>
      </c>
      <c r="C1849" t="n">
        <v>0</v>
      </c>
      <c r="D1849" t="n">
        <v>2047.670986889335</v>
      </c>
      <c r="E1849">
        <f>C1849&lt;0.05</f>
        <v/>
      </c>
      <c r="F1849">
        <f>A1849=$B$5</f>
        <v/>
      </c>
      <c r="G1849">
        <f>IF(E1849,A1849,10^9)</f>
        <v/>
      </c>
      <c r="H1849">
        <f>IF(E1849,D1849,10^9)</f>
        <v/>
      </c>
    </row>
    <row r="1850">
      <c r="A1850" t="n">
        <v>1842</v>
      </c>
      <c r="B1850" t="n">
        <v>0</v>
      </c>
      <c r="C1850" t="n">
        <v>0</v>
      </c>
      <c r="D1850" t="n">
        <v>2048.670986889335</v>
      </c>
      <c r="E1850">
        <f>C1850&lt;0.05</f>
        <v/>
      </c>
      <c r="F1850">
        <f>A1850=$B$5</f>
        <v/>
      </c>
      <c r="G1850">
        <f>IF(E1850,A1850,10^9)</f>
        <v/>
      </c>
      <c r="H1850">
        <f>IF(E1850,D1850,10^9)</f>
        <v/>
      </c>
    </row>
    <row r="1851">
      <c r="A1851" t="n">
        <v>1843</v>
      </c>
      <c r="B1851" t="n">
        <v>0</v>
      </c>
      <c r="C1851" t="n">
        <v>0</v>
      </c>
      <c r="D1851" t="n">
        <v>2049.670986889335</v>
      </c>
      <c r="E1851">
        <f>C1851&lt;0.05</f>
        <v/>
      </c>
      <c r="F1851">
        <f>A1851=$B$5</f>
        <v/>
      </c>
      <c r="G1851">
        <f>IF(E1851,A1851,10^9)</f>
        <v/>
      </c>
      <c r="H1851">
        <f>IF(E1851,D1851,10^9)</f>
        <v/>
      </c>
    </row>
    <row r="1852">
      <c r="A1852" t="n">
        <v>1844</v>
      </c>
      <c r="B1852" t="n">
        <v>0</v>
      </c>
      <c r="C1852" t="n">
        <v>0</v>
      </c>
      <c r="D1852" t="n">
        <v>2050.670986889335</v>
      </c>
      <c r="E1852">
        <f>C1852&lt;0.05</f>
        <v/>
      </c>
      <c r="F1852">
        <f>A1852=$B$5</f>
        <v/>
      </c>
      <c r="G1852">
        <f>IF(E1852,A1852,10^9)</f>
        <v/>
      </c>
      <c r="H1852">
        <f>IF(E1852,D1852,10^9)</f>
        <v/>
      </c>
    </row>
    <row r="1853">
      <c r="A1853" t="n">
        <v>1845</v>
      </c>
      <c r="B1853" t="n">
        <v>0</v>
      </c>
      <c r="C1853" t="n">
        <v>0</v>
      </c>
      <c r="D1853" t="n">
        <v>2051.670986889335</v>
      </c>
      <c r="E1853">
        <f>C1853&lt;0.05</f>
        <v/>
      </c>
      <c r="F1853">
        <f>A1853=$B$5</f>
        <v/>
      </c>
      <c r="G1853">
        <f>IF(E1853,A1853,10^9)</f>
        <v/>
      </c>
      <c r="H1853">
        <f>IF(E1853,D1853,10^9)</f>
        <v/>
      </c>
    </row>
    <row r="1854">
      <c r="A1854" t="n">
        <v>1846</v>
      </c>
      <c r="B1854" t="n">
        <v>0</v>
      </c>
      <c r="C1854" t="n">
        <v>0</v>
      </c>
      <c r="D1854" t="n">
        <v>2052.670986889335</v>
      </c>
      <c r="E1854">
        <f>C1854&lt;0.05</f>
        <v/>
      </c>
      <c r="F1854">
        <f>A1854=$B$5</f>
        <v/>
      </c>
      <c r="G1854">
        <f>IF(E1854,A1854,10^9)</f>
        <v/>
      </c>
      <c r="H1854">
        <f>IF(E1854,D1854,10^9)</f>
        <v/>
      </c>
    </row>
    <row r="1855">
      <c r="A1855" t="n">
        <v>1847</v>
      </c>
      <c r="B1855" t="n">
        <v>0</v>
      </c>
      <c r="C1855" t="n">
        <v>0</v>
      </c>
      <c r="D1855" t="n">
        <v>2053.670986889335</v>
      </c>
      <c r="E1855">
        <f>C1855&lt;0.05</f>
        <v/>
      </c>
      <c r="F1855">
        <f>A1855=$B$5</f>
        <v/>
      </c>
      <c r="G1855">
        <f>IF(E1855,A1855,10^9)</f>
        <v/>
      </c>
      <c r="H1855">
        <f>IF(E1855,D1855,10^9)</f>
        <v/>
      </c>
    </row>
    <row r="1856">
      <c r="A1856" t="n">
        <v>1848</v>
      </c>
      <c r="B1856" t="n">
        <v>0</v>
      </c>
      <c r="C1856" t="n">
        <v>0</v>
      </c>
      <c r="D1856" t="n">
        <v>2054.670986889335</v>
      </c>
      <c r="E1856">
        <f>C1856&lt;0.05</f>
        <v/>
      </c>
      <c r="F1856">
        <f>A1856=$B$5</f>
        <v/>
      </c>
      <c r="G1856">
        <f>IF(E1856,A1856,10^9)</f>
        <v/>
      </c>
      <c r="H1856">
        <f>IF(E1856,D1856,10^9)</f>
        <v/>
      </c>
    </row>
    <row r="1857">
      <c r="A1857" t="n">
        <v>1849</v>
      </c>
      <c r="B1857" t="n">
        <v>0</v>
      </c>
      <c r="C1857" t="n">
        <v>0</v>
      </c>
      <c r="D1857" t="n">
        <v>2055.670986889335</v>
      </c>
      <c r="E1857">
        <f>C1857&lt;0.05</f>
        <v/>
      </c>
      <c r="F1857">
        <f>A1857=$B$5</f>
        <v/>
      </c>
      <c r="G1857">
        <f>IF(E1857,A1857,10^9)</f>
        <v/>
      </c>
      <c r="H1857">
        <f>IF(E1857,D1857,10^9)</f>
        <v/>
      </c>
    </row>
    <row r="1858">
      <c r="A1858" t="n">
        <v>1850</v>
      </c>
      <c r="B1858" t="n">
        <v>0</v>
      </c>
      <c r="C1858" t="n">
        <v>0</v>
      </c>
      <c r="D1858" t="n">
        <v>2056.670986889335</v>
      </c>
      <c r="E1858">
        <f>C1858&lt;0.05</f>
        <v/>
      </c>
      <c r="F1858">
        <f>A1858=$B$5</f>
        <v/>
      </c>
      <c r="G1858">
        <f>IF(E1858,A1858,10^9)</f>
        <v/>
      </c>
      <c r="H1858">
        <f>IF(E1858,D1858,10^9)</f>
        <v/>
      </c>
    </row>
    <row r="1859">
      <c r="A1859" t="n">
        <v>1851</v>
      </c>
      <c r="B1859" t="n">
        <v>0</v>
      </c>
      <c r="C1859" t="n">
        <v>0</v>
      </c>
      <c r="D1859" t="n">
        <v>2057.670986889335</v>
      </c>
      <c r="E1859">
        <f>C1859&lt;0.05</f>
        <v/>
      </c>
      <c r="F1859">
        <f>A1859=$B$5</f>
        <v/>
      </c>
      <c r="G1859">
        <f>IF(E1859,A1859,10^9)</f>
        <v/>
      </c>
      <c r="H1859">
        <f>IF(E1859,D1859,10^9)</f>
        <v/>
      </c>
    </row>
    <row r="1860">
      <c r="A1860" t="n">
        <v>1852</v>
      </c>
      <c r="B1860" t="n">
        <v>0</v>
      </c>
      <c r="C1860" t="n">
        <v>0</v>
      </c>
      <c r="D1860" t="n">
        <v>2058.670986889335</v>
      </c>
      <c r="E1860">
        <f>C1860&lt;0.05</f>
        <v/>
      </c>
      <c r="F1860">
        <f>A1860=$B$5</f>
        <v/>
      </c>
      <c r="G1860">
        <f>IF(E1860,A1860,10^9)</f>
        <v/>
      </c>
      <c r="H1860">
        <f>IF(E1860,D1860,10^9)</f>
        <v/>
      </c>
    </row>
    <row r="1861">
      <c r="A1861" t="n">
        <v>1853</v>
      </c>
      <c r="B1861" t="n">
        <v>0</v>
      </c>
      <c r="C1861" t="n">
        <v>0</v>
      </c>
      <c r="D1861" t="n">
        <v>2059.670986889335</v>
      </c>
      <c r="E1861">
        <f>C1861&lt;0.05</f>
        <v/>
      </c>
      <c r="F1861">
        <f>A1861=$B$5</f>
        <v/>
      </c>
      <c r="G1861">
        <f>IF(E1861,A1861,10^9)</f>
        <v/>
      </c>
      <c r="H1861">
        <f>IF(E1861,D1861,10^9)</f>
        <v/>
      </c>
    </row>
    <row r="1862">
      <c r="A1862" t="n">
        <v>1854</v>
      </c>
      <c r="B1862" t="n">
        <v>0</v>
      </c>
      <c r="C1862" t="n">
        <v>0</v>
      </c>
      <c r="D1862" t="n">
        <v>2060.670986889335</v>
      </c>
      <c r="E1862">
        <f>C1862&lt;0.05</f>
        <v/>
      </c>
      <c r="F1862">
        <f>A1862=$B$5</f>
        <v/>
      </c>
      <c r="G1862">
        <f>IF(E1862,A1862,10^9)</f>
        <v/>
      </c>
      <c r="H1862">
        <f>IF(E1862,D1862,10^9)</f>
        <v/>
      </c>
    </row>
    <row r="1863">
      <c r="A1863" t="n">
        <v>1855</v>
      </c>
      <c r="B1863" t="n">
        <v>0</v>
      </c>
      <c r="C1863" t="n">
        <v>0</v>
      </c>
      <c r="D1863" t="n">
        <v>2061.670986889335</v>
      </c>
      <c r="E1863">
        <f>C1863&lt;0.05</f>
        <v/>
      </c>
      <c r="F1863">
        <f>A1863=$B$5</f>
        <v/>
      </c>
      <c r="G1863">
        <f>IF(E1863,A1863,10^9)</f>
        <v/>
      </c>
      <c r="H1863">
        <f>IF(E1863,D1863,10^9)</f>
        <v/>
      </c>
    </row>
    <row r="1864">
      <c r="A1864" t="n">
        <v>1856</v>
      </c>
      <c r="B1864" t="n">
        <v>0</v>
      </c>
      <c r="C1864" t="n">
        <v>0</v>
      </c>
      <c r="D1864" t="n">
        <v>2062.670986889335</v>
      </c>
      <c r="E1864">
        <f>C1864&lt;0.05</f>
        <v/>
      </c>
      <c r="F1864">
        <f>A1864=$B$5</f>
        <v/>
      </c>
      <c r="G1864">
        <f>IF(E1864,A1864,10^9)</f>
        <v/>
      </c>
      <c r="H1864">
        <f>IF(E1864,D1864,10^9)</f>
        <v/>
      </c>
    </row>
    <row r="1865">
      <c r="A1865" t="n">
        <v>1857</v>
      </c>
      <c r="B1865" t="n">
        <v>0</v>
      </c>
      <c r="C1865" t="n">
        <v>0</v>
      </c>
      <c r="D1865" t="n">
        <v>2063.670986889335</v>
      </c>
      <c r="E1865">
        <f>C1865&lt;0.05</f>
        <v/>
      </c>
      <c r="F1865">
        <f>A1865=$B$5</f>
        <v/>
      </c>
      <c r="G1865">
        <f>IF(E1865,A1865,10^9)</f>
        <v/>
      </c>
      <c r="H1865">
        <f>IF(E1865,D1865,10^9)</f>
        <v/>
      </c>
    </row>
    <row r="1866">
      <c r="A1866" t="n">
        <v>1858</v>
      </c>
      <c r="B1866" t="n">
        <v>0</v>
      </c>
      <c r="C1866" t="n">
        <v>0</v>
      </c>
      <c r="D1866" t="n">
        <v>2064.670986889335</v>
      </c>
      <c r="E1866">
        <f>C1866&lt;0.05</f>
        <v/>
      </c>
      <c r="F1866">
        <f>A1866=$B$5</f>
        <v/>
      </c>
      <c r="G1866">
        <f>IF(E1866,A1866,10^9)</f>
        <v/>
      </c>
      <c r="H1866">
        <f>IF(E1866,D1866,10^9)</f>
        <v/>
      </c>
    </row>
    <row r="1867">
      <c r="A1867" t="n">
        <v>1859</v>
      </c>
      <c r="B1867" t="n">
        <v>0</v>
      </c>
      <c r="C1867" t="n">
        <v>0</v>
      </c>
      <c r="D1867" t="n">
        <v>2065.670986889335</v>
      </c>
      <c r="E1867">
        <f>C1867&lt;0.05</f>
        <v/>
      </c>
      <c r="F1867">
        <f>A1867=$B$5</f>
        <v/>
      </c>
      <c r="G1867">
        <f>IF(E1867,A1867,10^9)</f>
        <v/>
      </c>
      <c r="H1867">
        <f>IF(E1867,D1867,10^9)</f>
        <v/>
      </c>
    </row>
    <row r="1868">
      <c r="A1868" t="n">
        <v>1860</v>
      </c>
      <c r="B1868" t="n">
        <v>0</v>
      </c>
      <c r="C1868" t="n">
        <v>0</v>
      </c>
      <c r="D1868" t="n">
        <v>2066.670986889335</v>
      </c>
      <c r="E1868">
        <f>C1868&lt;0.05</f>
        <v/>
      </c>
      <c r="F1868">
        <f>A1868=$B$5</f>
        <v/>
      </c>
      <c r="G1868">
        <f>IF(E1868,A1868,10^9)</f>
        <v/>
      </c>
      <c r="H1868">
        <f>IF(E1868,D1868,10^9)</f>
        <v/>
      </c>
    </row>
    <row r="1869">
      <c r="A1869" t="n">
        <v>1861</v>
      </c>
      <c r="B1869" t="n">
        <v>0</v>
      </c>
      <c r="C1869" t="n">
        <v>0</v>
      </c>
      <c r="D1869" t="n">
        <v>2067.670986889335</v>
      </c>
      <c r="E1869">
        <f>C1869&lt;0.05</f>
        <v/>
      </c>
      <c r="F1869">
        <f>A1869=$B$5</f>
        <v/>
      </c>
      <c r="G1869">
        <f>IF(E1869,A1869,10^9)</f>
        <v/>
      </c>
      <c r="H1869">
        <f>IF(E1869,D1869,10^9)</f>
        <v/>
      </c>
    </row>
    <row r="1870">
      <c r="A1870" t="n">
        <v>1862</v>
      </c>
      <c r="B1870" t="n">
        <v>0</v>
      </c>
      <c r="C1870" t="n">
        <v>0</v>
      </c>
      <c r="D1870" t="n">
        <v>2068.670986889335</v>
      </c>
      <c r="E1870">
        <f>C1870&lt;0.05</f>
        <v/>
      </c>
      <c r="F1870">
        <f>A1870=$B$5</f>
        <v/>
      </c>
      <c r="G1870">
        <f>IF(E1870,A1870,10^9)</f>
        <v/>
      </c>
      <c r="H1870">
        <f>IF(E1870,D1870,10^9)</f>
        <v/>
      </c>
    </row>
    <row r="1871">
      <c r="A1871" t="n">
        <v>1863</v>
      </c>
      <c r="B1871" t="n">
        <v>0</v>
      </c>
      <c r="C1871" t="n">
        <v>0</v>
      </c>
      <c r="D1871" t="n">
        <v>2069.670986889335</v>
      </c>
      <c r="E1871">
        <f>C1871&lt;0.05</f>
        <v/>
      </c>
      <c r="F1871">
        <f>A1871=$B$5</f>
        <v/>
      </c>
      <c r="G1871">
        <f>IF(E1871,A1871,10^9)</f>
        <v/>
      </c>
      <c r="H1871">
        <f>IF(E1871,D1871,10^9)</f>
        <v/>
      </c>
    </row>
    <row r="1872">
      <c r="A1872" t="n">
        <v>1864</v>
      </c>
      <c r="B1872" t="n">
        <v>0</v>
      </c>
      <c r="C1872" t="n">
        <v>0</v>
      </c>
      <c r="D1872" t="n">
        <v>2070.670986889335</v>
      </c>
      <c r="E1872">
        <f>C1872&lt;0.05</f>
        <v/>
      </c>
      <c r="F1872">
        <f>A1872=$B$5</f>
        <v/>
      </c>
      <c r="G1872">
        <f>IF(E1872,A1872,10^9)</f>
        <v/>
      </c>
      <c r="H1872">
        <f>IF(E1872,D1872,10^9)</f>
        <v/>
      </c>
    </row>
    <row r="1873">
      <c r="A1873" t="n">
        <v>1865</v>
      </c>
      <c r="B1873" t="n">
        <v>0</v>
      </c>
      <c r="C1873" t="n">
        <v>0</v>
      </c>
      <c r="D1873" t="n">
        <v>2071.670986889335</v>
      </c>
      <c r="E1873">
        <f>C1873&lt;0.05</f>
        <v/>
      </c>
      <c r="F1873">
        <f>A1873=$B$5</f>
        <v/>
      </c>
      <c r="G1873">
        <f>IF(E1873,A1873,10^9)</f>
        <v/>
      </c>
      <c r="H1873">
        <f>IF(E1873,D1873,10^9)</f>
        <v/>
      </c>
    </row>
    <row r="1874">
      <c r="A1874" t="n">
        <v>1866</v>
      </c>
      <c r="B1874" t="n">
        <v>0</v>
      </c>
      <c r="C1874" t="n">
        <v>0</v>
      </c>
      <c r="D1874" t="n">
        <v>2072.670986889335</v>
      </c>
      <c r="E1874">
        <f>C1874&lt;0.05</f>
        <v/>
      </c>
      <c r="F1874">
        <f>A1874=$B$5</f>
        <v/>
      </c>
      <c r="G1874">
        <f>IF(E1874,A1874,10^9)</f>
        <v/>
      </c>
      <c r="H1874">
        <f>IF(E1874,D1874,10^9)</f>
        <v/>
      </c>
    </row>
    <row r="1875">
      <c r="A1875" t="n">
        <v>1867</v>
      </c>
      <c r="B1875" t="n">
        <v>0</v>
      </c>
      <c r="C1875" t="n">
        <v>0</v>
      </c>
      <c r="D1875" t="n">
        <v>2073.670986889335</v>
      </c>
      <c r="E1875">
        <f>C1875&lt;0.05</f>
        <v/>
      </c>
      <c r="F1875">
        <f>A1875=$B$5</f>
        <v/>
      </c>
      <c r="G1875">
        <f>IF(E1875,A1875,10^9)</f>
        <v/>
      </c>
      <c r="H1875">
        <f>IF(E1875,D1875,10^9)</f>
        <v/>
      </c>
    </row>
    <row r="1876">
      <c r="A1876" t="n">
        <v>1868</v>
      </c>
      <c r="B1876" t="n">
        <v>0</v>
      </c>
      <c r="C1876" t="n">
        <v>0</v>
      </c>
      <c r="D1876" t="n">
        <v>2074.670986889335</v>
      </c>
      <c r="E1876">
        <f>C1876&lt;0.05</f>
        <v/>
      </c>
      <c r="F1876">
        <f>A1876=$B$5</f>
        <v/>
      </c>
      <c r="G1876">
        <f>IF(E1876,A1876,10^9)</f>
        <v/>
      </c>
      <c r="H1876">
        <f>IF(E1876,D1876,10^9)</f>
        <v/>
      </c>
    </row>
    <row r="1877">
      <c r="A1877" t="n">
        <v>1869</v>
      </c>
      <c r="B1877" t="n">
        <v>0</v>
      </c>
      <c r="C1877" t="n">
        <v>0</v>
      </c>
      <c r="D1877" t="n">
        <v>2075.670986889335</v>
      </c>
      <c r="E1877">
        <f>C1877&lt;0.05</f>
        <v/>
      </c>
      <c r="F1877">
        <f>A1877=$B$5</f>
        <v/>
      </c>
      <c r="G1877">
        <f>IF(E1877,A1877,10^9)</f>
        <v/>
      </c>
      <c r="H1877">
        <f>IF(E1877,D1877,10^9)</f>
        <v/>
      </c>
    </row>
    <row r="1878">
      <c r="A1878" t="n">
        <v>1870</v>
      </c>
      <c r="B1878" t="n">
        <v>0</v>
      </c>
      <c r="C1878" t="n">
        <v>0</v>
      </c>
      <c r="D1878" t="n">
        <v>2076.670986889335</v>
      </c>
      <c r="E1878">
        <f>C1878&lt;0.05</f>
        <v/>
      </c>
      <c r="F1878">
        <f>A1878=$B$5</f>
        <v/>
      </c>
      <c r="G1878">
        <f>IF(E1878,A1878,10^9)</f>
        <v/>
      </c>
      <c r="H1878">
        <f>IF(E1878,D1878,10^9)</f>
        <v/>
      </c>
    </row>
    <row r="1879">
      <c r="A1879" t="n">
        <v>1871</v>
      </c>
      <c r="B1879" t="n">
        <v>0</v>
      </c>
      <c r="C1879" t="n">
        <v>0</v>
      </c>
      <c r="D1879" t="n">
        <v>2077.670986889335</v>
      </c>
      <c r="E1879">
        <f>C1879&lt;0.05</f>
        <v/>
      </c>
      <c r="F1879">
        <f>A1879=$B$5</f>
        <v/>
      </c>
      <c r="G1879">
        <f>IF(E1879,A1879,10^9)</f>
        <v/>
      </c>
      <c r="H1879">
        <f>IF(E1879,D1879,10^9)</f>
        <v/>
      </c>
    </row>
    <row r="1880">
      <c r="A1880" t="n">
        <v>1872</v>
      </c>
      <c r="B1880" t="n">
        <v>0</v>
      </c>
      <c r="C1880" t="n">
        <v>0</v>
      </c>
      <c r="D1880" t="n">
        <v>2078.670986889335</v>
      </c>
      <c r="E1880">
        <f>C1880&lt;0.05</f>
        <v/>
      </c>
      <c r="F1880">
        <f>A1880=$B$5</f>
        <v/>
      </c>
      <c r="G1880">
        <f>IF(E1880,A1880,10^9)</f>
        <v/>
      </c>
      <c r="H1880">
        <f>IF(E1880,D1880,10^9)</f>
        <v/>
      </c>
    </row>
    <row r="1881">
      <c r="A1881" t="n">
        <v>1873</v>
      </c>
      <c r="B1881" t="n">
        <v>0</v>
      </c>
      <c r="C1881" t="n">
        <v>0</v>
      </c>
      <c r="D1881" t="n">
        <v>2079.670986889335</v>
      </c>
      <c r="E1881">
        <f>C1881&lt;0.05</f>
        <v/>
      </c>
      <c r="F1881">
        <f>A1881=$B$5</f>
        <v/>
      </c>
      <c r="G1881">
        <f>IF(E1881,A1881,10^9)</f>
        <v/>
      </c>
      <c r="H1881">
        <f>IF(E1881,D1881,10^9)</f>
        <v/>
      </c>
    </row>
    <row r="1882">
      <c r="A1882" t="n">
        <v>1874</v>
      </c>
      <c r="B1882" t="n">
        <v>0</v>
      </c>
      <c r="C1882" t="n">
        <v>0</v>
      </c>
      <c r="D1882" t="n">
        <v>2080.670986889335</v>
      </c>
      <c r="E1882">
        <f>C1882&lt;0.05</f>
        <v/>
      </c>
      <c r="F1882">
        <f>A1882=$B$5</f>
        <v/>
      </c>
      <c r="G1882">
        <f>IF(E1882,A1882,10^9)</f>
        <v/>
      </c>
      <c r="H1882">
        <f>IF(E1882,D1882,10^9)</f>
        <v/>
      </c>
    </row>
    <row r="1883">
      <c r="A1883" t="n">
        <v>1875</v>
      </c>
      <c r="B1883" t="n">
        <v>0</v>
      </c>
      <c r="C1883" t="n">
        <v>0</v>
      </c>
      <c r="D1883" t="n">
        <v>2081.670986889335</v>
      </c>
      <c r="E1883">
        <f>C1883&lt;0.05</f>
        <v/>
      </c>
      <c r="F1883">
        <f>A1883=$B$5</f>
        <v/>
      </c>
      <c r="G1883">
        <f>IF(E1883,A1883,10^9)</f>
        <v/>
      </c>
      <c r="H1883">
        <f>IF(E1883,D1883,10^9)</f>
        <v/>
      </c>
    </row>
    <row r="1884">
      <c r="A1884" t="n">
        <v>1876</v>
      </c>
      <c r="B1884" t="n">
        <v>0</v>
      </c>
      <c r="C1884" t="n">
        <v>0</v>
      </c>
      <c r="D1884" t="n">
        <v>2082.670986889335</v>
      </c>
      <c r="E1884">
        <f>C1884&lt;0.05</f>
        <v/>
      </c>
      <c r="F1884">
        <f>A1884=$B$5</f>
        <v/>
      </c>
      <c r="G1884">
        <f>IF(E1884,A1884,10^9)</f>
        <v/>
      </c>
      <c r="H1884">
        <f>IF(E1884,D1884,10^9)</f>
        <v/>
      </c>
    </row>
    <row r="1885">
      <c r="A1885" t="n">
        <v>1877</v>
      </c>
      <c r="B1885" t="n">
        <v>0</v>
      </c>
      <c r="C1885" t="n">
        <v>0</v>
      </c>
      <c r="D1885" t="n">
        <v>2083.670986889335</v>
      </c>
      <c r="E1885">
        <f>C1885&lt;0.05</f>
        <v/>
      </c>
      <c r="F1885">
        <f>A1885=$B$5</f>
        <v/>
      </c>
      <c r="G1885">
        <f>IF(E1885,A1885,10^9)</f>
        <v/>
      </c>
      <c r="H1885">
        <f>IF(E1885,D1885,10^9)</f>
        <v/>
      </c>
    </row>
    <row r="1886">
      <c r="A1886" t="n">
        <v>1878</v>
      </c>
      <c r="B1886" t="n">
        <v>0</v>
      </c>
      <c r="C1886" t="n">
        <v>0</v>
      </c>
      <c r="D1886" t="n">
        <v>2084.670986889335</v>
      </c>
      <c r="E1886">
        <f>C1886&lt;0.05</f>
        <v/>
      </c>
      <c r="F1886">
        <f>A1886=$B$5</f>
        <v/>
      </c>
      <c r="G1886">
        <f>IF(E1886,A1886,10^9)</f>
        <v/>
      </c>
      <c r="H1886">
        <f>IF(E1886,D1886,10^9)</f>
        <v/>
      </c>
    </row>
    <row r="1887">
      <c r="A1887" t="n">
        <v>1879</v>
      </c>
      <c r="B1887" t="n">
        <v>0</v>
      </c>
      <c r="C1887" t="n">
        <v>0</v>
      </c>
      <c r="D1887" t="n">
        <v>2085.670986889335</v>
      </c>
      <c r="E1887">
        <f>C1887&lt;0.05</f>
        <v/>
      </c>
      <c r="F1887">
        <f>A1887=$B$5</f>
        <v/>
      </c>
      <c r="G1887">
        <f>IF(E1887,A1887,10^9)</f>
        <v/>
      </c>
      <c r="H1887">
        <f>IF(E1887,D1887,10^9)</f>
        <v/>
      </c>
    </row>
    <row r="1888">
      <c r="A1888" t="n">
        <v>1880</v>
      </c>
      <c r="B1888" t="n">
        <v>0</v>
      </c>
      <c r="C1888" t="n">
        <v>0</v>
      </c>
      <c r="D1888" t="n">
        <v>2086.670986889335</v>
      </c>
      <c r="E1888">
        <f>C1888&lt;0.05</f>
        <v/>
      </c>
      <c r="F1888">
        <f>A1888=$B$5</f>
        <v/>
      </c>
      <c r="G1888">
        <f>IF(E1888,A1888,10^9)</f>
        <v/>
      </c>
      <c r="H1888">
        <f>IF(E1888,D1888,10^9)</f>
        <v/>
      </c>
    </row>
    <row r="1889">
      <c r="A1889" t="n">
        <v>1881</v>
      </c>
      <c r="B1889" t="n">
        <v>0</v>
      </c>
      <c r="C1889" t="n">
        <v>0</v>
      </c>
      <c r="D1889" t="n">
        <v>2087.670986889335</v>
      </c>
      <c r="E1889">
        <f>C1889&lt;0.05</f>
        <v/>
      </c>
      <c r="F1889">
        <f>A1889=$B$5</f>
        <v/>
      </c>
      <c r="G1889">
        <f>IF(E1889,A1889,10^9)</f>
        <v/>
      </c>
      <c r="H1889">
        <f>IF(E1889,D1889,10^9)</f>
        <v/>
      </c>
    </row>
    <row r="1890">
      <c r="A1890" t="n">
        <v>1882</v>
      </c>
      <c r="B1890" t="n">
        <v>0</v>
      </c>
      <c r="C1890" t="n">
        <v>0</v>
      </c>
      <c r="D1890" t="n">
        <v>2088.670986889335</v>
      </c>
      <c r="E1890">
        <f>C1890&lt;0.05</f>
        <v/>
      </c>
      <c r="F1890">
        <f>A1890=$B$5</f>
        <v/>
      </c>
      <c r="G1890">
        <f>IF(E1890,A1890,10^9)</f>
        <v/>
      </c>
      <c r="H1890">
        <f>IF(E1890,D1890,10^9)</f>
        <v/>
      </c>
    </row>
    <row r="1891">
      <c r="A1891" t="n">
        <v>1883</v>
      </c>
      <c r="B1891" t="n">
        <v>0</v>
      </c>
      <c r="C1891" t="n">
        <v>0</v>
      </c>
      <c r="D1891" t="n">
        <v>2089.670986889335</v>
      </c>
      <c r="E1891">
        <f>C1891&lt;0.05</f>
        <v/>
      </c>
      <c r="F1891">
        <f>A1891=$B$5</f>
        <v/>
      </c>
      <c r="G1891">
        <f>IF(E1891,A1891,10^9)</f>
        <v/>
      </c>
      <c r="H1891">
        <f>IF(E1891,D1891,10^9)</f>
        <v/>
      </c>
    </row>
    <row r="1892">
      <c r="A1892" t="n">
        <v>1884</v>
      </c>
      <c r="B1892" t="n">
        <v>0</v>
      </c>
      <c r="C1892" t="n">
        <v>0</v>
      </c>
      <c r="D1892" t="n">
        <v>2090.670986889335</v>
      </c>
      <c r="E1892">
        <f>C1892&lt;0.05</f>
        <v/>
      </c>
      <c r="F1892">
        <f>A1892=$B$5</f>
        <v/>
      </c>
      <c r="G1892">
        <f>IF(E1892,A1892,10^9)</f>
        <v/>
      </c>
      <c r="H1892">
        <f>IF(E1892,D1892,10^9)</f>
        <v/>
      </c>
    </row>
    <row r="1893">
      <c r="A1893" t="n">
        <v>1885</v>
      </c>
      <c r="B1893" t="n">
        <v>0</v>
      </c>
      <c r="C1893" t="n">
        <v>0</v>
      </c>
      <c r="D1893" t="n">
        <v>2091.670986889335</v>
      </c>
      <c r="E1893">
        <f>C1893&lt;0.05</f>
        <v/>
      </c>
      <c r="F1893">
        <f>A1893=$B$5</f>
        <v/>
      </c>
      <c r="G1893">
        <f>IF(E1893,A1893,10^9)</f>
        <v/>
      </c>
      <c r="H1893">
        <f>IF(E1893,D1893,10^9)</f>
        <v/>
      </c>
    </row>
    <row r="1894">
      <c r="A1894" t="n">
        <v>1886</v>
      </c>
      <c r="B1894" t="n">
        <v>0</v>
      </c>
      <c r="C1894" t="n">
        <v>0</v>
      </c>
      <c r="D1894" t="n">
        <v>2092.670986889335</v>
      </c>
      <c r="E1894">
        <f>C1894&lt;0.05</f>
        <v/>
      </c>
      <c r="F1894">
        <f>A1894=$B$5</f>
        <v/>
      </c>
      <c r="G1894">
        <f>IF(E1894,A1894,10^9)</f>
        <v/>
      </c>
      <c r="H1894">
        <f>IF(E1894,D1894,10^9)</f>
        <v/>
      </c>
    </row>
    <row r="1895">
      <c r="A1895" t="n">
        <v>1887</v>
      </c>
      <c r="B1895" t="n">
        <v>0</v>
      </c>
      <c r="C1895" t="n">
        <v>0</v>
      </c>
      <c r="D1895" t="n">
        <v>2093.670986889335</v>
      </c>
      <c r="E1895">
        <f>C1895&lt;0.05</f>
        <v/>
      </c>
      <c r="F1895">
        <f>A1895=$B$5</f>
        <v/>
      </c>
      <c r="G1895">
        <f>IF(E1895,A1895,10^9)</f>
        <v/>
      </c>
      <c r="H1895">
        <f>IF(E1895,D1895,10^9)</f>
        <v/>
      </c>
    </row>
    <row r="1896">
      <c r="A1896" t="n">
        <v>1888</v>
      </c>
      <c r="B1896" t="n">
        <v>0</v>
      </c>
      <c r="C1896" t="n">
        <v>0</v>
      </c>
      <c r="D1896" t="n">
        <v>2094.670986889335</v>
      </c>
      <c r="E1896">
        <f>C1896&lt;0.05</f>
        <v/>
      </c>
      <c r="F1896">
        <f>A1896=$B$5</f>
        <v/>
      </c>
      <c r="G1896">
        <f>IF(E1896,A1896,10^9)</f>
        <v/>
      </c>
      <c r="H1896">
        <f>IF(E1896,D1896,10^9)</f>
        <v/>
      </c>
    </row>
    <row r="1897">
      <c r="A1897" t="n">
        <v>1889</v>
      </c>
      <c r="B1897" t="n">
        <v>0</v>
      </c>
      <c r="C1897" t="n">
        <v>0</v>
      </c>
      <c r="D1897" t="n">
        <v>2095.670986889335</v>
      </c>
      <c r="E1897">
        <f>C1897&lt;0.05</f>
        <v/>
      </c>
      <c r="F1897">
        <f>A1897=$B$5</f>
        <v/>
      </c>
      <c r="G1897">
        <f>IF(E1897,A1897,10^9)</f>
        <v/>
      </c>
      <c r="H1897">
        <f>IF(E1897,D1897,10^9)</f>
        <v/>
      </c>
    </row>
    <row r="1898">
      <c r="A1898" t="n">
        <v>1890</v>
      </c>
      <c r="B1898" t="n">
        <v>0</v>
      </c>
      <c r="C1898" t="n">
        <v>0</v>
      </c>
      <c r="D1898" t="n">
        <v>2096.670986889335</v>
      </c>
      <c r="E1898">
        <f>C1898&lt;0.05</f>
        <v/>
      </c>
      <c r="F1898">
        <f>A1898=$B$5</f>
        <v/>
      </c>
      <c r="G1898">
        <f>IF(E1898,A1898,10^9)</f>
        <v/>
      </c>
      <c r="H1898">
        <f>IF(E1898,D1898,10^9)</f>
        <v/>
      </c>
    </row>
    <row r="1899">
      <c r="A1899" t="n">
        <v>1891</v>
      </c>
      <c r="B1899" t="n">
        <v>0</v>
      </c>
      <c r="C1899" t="n">
        <v>0</v>
      </c>
      <c r="D1899" t="n">
        <v>2097.670986889335</v>
      </c>
      <c r="E1899">
        <f>C1899&lt;0.05</f>
        <v/>
      </c>
      <c r="F1899">
        <f>A1899=$B$5</f>
        <v/>
      </c>
      <c r="G1899">
        <f>IF(E1899,A1899,10^9)</f>
        <v/>
      </c>
      <c r="H1899">
        <f>IF(E1899,D1899,10^9)</f>
        <v/>
      </c>
    </row>
    <row r="1900">
      <c r="A1900" t="n">
        <v>1892</v>
      </c>
      <c r="B1900" t="n">
        <v>0</v>
      </c>
      <c r="C1900" t="n">
        <v>0</v>
      </c>
      <c r="D1900" t="n">
        <v>2098.670986889335</v>
      </c>
      <c r="E1900">
        <f>C1900&lt;0.05</f>
        <v/>
      </c>
      <c r="F1900">
        <f>A1900=$B$5</f>
        <v/>
      </c>
      <c r="G1900">
        <f>IF(E1900,A1900,10^9)</f>
        <v/>
      </c>
      <c r="H1900">
        <f>IF(E1900,D1900,10^9)</f>
        <v/>
      </c>
    </row>
    <row r="1901">
      <c r="A1901" t="n">
        <v>1893</v>
      </c>
      <c r="B1901" t="n">
        <v>0</v>
      </c>
      <c r="C1901" t="n">
        <v>0</v>
      </c>
      <c r="D1901" t="n">
        <v>2099.670986889335</v>
      </c>
      <c r="E1901">
        <f>C1901&lt;0.05</f>
        <v/>
      </c>
      <c r="F1901">
        <f>A1901=$B$5</f>
        <v/>
      </c>
      <c r="G1901">
        <f>IF(E1901,A1901,10^9)</f>
        <v/>
      </c>
      <c r="H1901">
        <f>IF(E1901,D1901,10^9)</f>
        <v/>
      </c>
    </row>
    <row r="1902">
      <c r="A1902" t="n">
        <v>1894</v>
      </c>
      <c r="B1902" t="n">
        <v>0</v>
      </c>
      <c r="C1902" t="n">
        <v>0</v>
      </c>
      <c r="D1902" t="n">
        <v>2100.670986889335</v>
      </c>
      <c r="E1902">
        <f>C1902&lt;0.05</f>
        <v/>
      </c>
      <c r="F1902">
        <f>A1902=$B$5</f>
        <v/>
      </c>
      <c r="G1902">
        <f>IF(E1902,A1902,10^9)</f>
        <v/>
      </c>
      <c r="H1902">
        <f>IF(E1902,D1902,10^9)</f>
        <v/>
      </c>
    </row>
    <row r="1903">
      <c r="A1903" t="n">
        <v>1895</v>
      </c>
      <c r="B1903" t="n">
        <v>0</v>
      </c>
      <c r="C1903" t="n">
        <v>0</v>
      </c>
      <c r="D1903" t="n">
        <v>2101.670986889335</v>
      </c>
      <c r="E1903">
        <f>C1903&lt;0.05</f>
        <v/>
      </c>
      <c r="F1903">
        <f>A1903=$B$5</f>
        <v/>
      </c>
      <c r="G1903">
        <f>IF(E1903,A1903,10^9)</f>
        <v/>
      </c>
      <c r="H1903">
        <f>IF(E1903,D1903,10^9)</f>
        <v/>
      </c>
    </row>
    <row r="1904">
      <c r="A1904" t="n">
        <v>1896</v>
      </c>
      <c r="B1904" t="n">
        <v>0</v>
      </c>
      <c r="C1904" t="n">
        <v>0</v>
      </c>
      <c r="D1904" t="n">
        <v>2102.670986889335</v>
      </c>
      <c r="E1904">
        <f>C1904&lt;0.05</f>
        <v/>
      </c>
      <c r="F1904">
        <f>A1904=$B$5</f>
        <v/>
      </c>
      <c r="G1904">
        <f>IF(E1904,A1904,10^9)</f>
        <v/>
      </c>
      <c r="H1904">
        <f>IF(E1904,D1904,10^9)</f>
        <v/>
      </c>
    </row>
    <row r="1905">
      <c r="A1905" t="n">
        <v>1897</v>
      </c>
      <c r="B1905" t="n">
        <v>0</v>
      </c>
      <c r="C1905" t="n">
        <v>0</v>
      </c>
      <c r="D1905" t="n">
        <v>2103.670986889335</v>
      </c>
      <c r="E1905">
        <f>C1905&lt;0.05</f>
        <v/>
      </c>
      <c r="F1905">
        <f>A1905=$B$5</f>
        <v/>
      </c>
      <c r="G1905">
        <f>IF(E1905,A1905,10^9)</f>
        <v/>
      </c>
      <c r="H1905">
        <f>IF(E1905,D1905,10^9)</f>
        <v/>
      </c>
    </row>
    <row r="1906">
      <c r="A1906" t="n">
        <v>1898</v>
      </c>
      <c r="B1906" t="n">
        <v>0</v>
      </c>
      <c r="C1906" t="n">
        <v>0</v>
      </c>
      <c r="D1906" t="n">
        <v>2104.670986889335</v>
      </c>
      <c r="E1906">
        <f>C1906&lt;0.05</f>
        <v/>
      </c>
      <c r="F1906">
        <f>A1906=$B$5</f>
        <v/>
      </c>
      <c r="G1906">
        <f>IF(E1906,A1906,10^9)</f>
        <v/>
      </c>
      <c r="H1906">
        <f>IF(E1906,D1906,10^9)</f>
        <v/>
      </c>
    </row>
    <row r="1907">
      <c r="A1907" t="n">
        <v>1899</v>
      </c>
      <c r="B1907" t="n">
        <v>0</v>
      </c>
      <c r="C1907" t="n">
        <v>0</v>
      </c>
      <c r="D1907" t="n">
        <v>2105.670986889335</v>
      </c>
      <c r="E1907">
        <f>C1907&lt;0.05</f>
        <v/>
      </c>
      <c r="F1907">
        <f>A1907=$B$5</f>
        <v/>
      </c>
      <c r="G1907">
        <f>IF(E1907,A1907,10^9)</f>
        <v/>
      </c>
      <c r="H1907">
        <f>IF(E1907,D1907,10^9)</f>
        <v/>
      </c>
    </row>
    <row r="1908">
      <c r="A1908" t="n">
        <v>1900</v>
      </c>
      <c r="B1908" t="n">
        <v>0</v>
      </c>
      <c r="C1908" t="n">
        <v>0</v>
      </c>
      <c r="D1908" t="n">
        <v>2106.670986889335</v>
      </c>
      <c r="E1908">
        <f>C1908&lt;0.05</f>
        <v/>
      </c>
      <c r="F1908">
        <f>A1908=$B$5</f>
        <v/>
      </c>
      <c r="G1908">
        <f>IF(E1908,A1908,10^9)</f>
        <v/>
      </c>
      <c r="H1908">
        <f>IF(E1908,D1908,10^9)</f>
        <v/>
      </c>
    </row>
    <row r="1909">
      <c r="A1909" t="n">
        <v>1901</v>
      </c>
      <c r="B1909" t="n">
        <v>0</v>
      </c>
      <c r="C1909" t="n">
        <v>0</v>
      </c>
      <c r="D1909" t="n">
        <v>2107.670986889335</v>
      </c>
      <c r="E1909">
        <f>C1909&lt;0.05</f>
        <v/>
      </c>
      <c r="F1909">
        <f>A1909=$B$5</f>
        <v/>
      </c>
      <c r="G1909">
        <f>IF(E1909,A1909,10^9)</f>
        <v/>
      </c>
      <c r="H1909">
        <f>IF(E1909,D1909,10^9)</f>
        <v/>
      </c>
    </row>
    <row r="1910">
      <c r="A1910" t="n">
        <v>1902</v>
      </c>
      <c r="B1910" t="n">
        <v>0</v>
      </c>
      <c r="C1910" t="n">
        <v>0</v>
      </c>
      <c r="D1910" t="n">
        <v>2108.670986889335</v>
      </c>
      <c r="E1910">
        <f>C1910&lt;0.05</f>
        <v/>
      </c>
      <c r="F1910">
        <f>A1910=$B$5</f>
        <v/>
      </c>
      <c r="G1910">
        <f>IF(E1910,A1910,10^9)</f>
        <v/>
      </c>
      <c r="H1910">
        <f>IF(E1910,D1910,10^9)</f>
        <v/>
      </c>
    </row>
    <row r="1911">
      <c r="A1911" t="n">
        <v>1903</v>
      </c>
      <c r="B1911" t="n">
        <v>0</v>
      </c>
      <c r="C1911" t="n">
        <v>0</v>
      </c>
      <c r="D1911" t="n">
        <v>2109.670986889335</v>
      </c>
      <c r="E1911">
        <f>C1911&lt;0.05</f>
        <v/>
      </c>
      <c r="F1911">
        <f>A1911=$B$5</f>
        <v/>
      </c>
      <c r="G1911">
        <f>IF(E1911,A1911,10^9)</f>
        <v/>
      </c>
      <c r="H1911">
        <f>IF(E1911,D1911,10^9)</f>
        <v/>
      </c>
    </row>
    <row r="1912">
      <c r="A1912" t="n">
        <v>1904</v>
      </c>
      <c r="B1912" t="n">
        <v>0</v>
      </c>
      <c r="C1912" t="n">
        <v>0</v>
      </c>
      <c r="D1912" t="n">
        <v>2110.670986889335</v>
      </c>
      <c r="E1912">
        <f>C1912&lt;0.05</f>
        <v/>
      </c>
      <c r="F1912">
        <f>A1912=$B$5</f>
        <v/>
      </c>
      <c r="G1912">
        <f>IF(E1912,A1912,10^9)</f>
        <v/>
      </c>
      <c r="H1912">
        <f>IF(E1912,D1912,10^9)</f>
        <v/>
      </c>
    </row>
    <row r="1913">
      <c r="A1913" t="n">
        <v>1905</v>
      </c>
      <c r="B1913" t="n">
        <v>0</v>
      </c>
      <c r="C1913" t="n">
        <v>0</v>
      </c>
      <c r="D1913" t="n">
        <v>2111.670986889335</v>
      </c>
      <c r="E1913">
        <f>C1913&lt;0.05</f>
        <v/>
      </c>
      <c r="F1913">
        <f>A1913=$B$5</f>
        <v/>
      </c>
      <c r="G1913">
        <f>IF(E1913,A1913,10^9)</f>
        <v/>
      </c>
      <c r="H1913">
        <f>IF(E1913,D1913,10^9)</f>
        <v/>
      </c>
    </row>
    <row r="1914">
      <c r="A1914" t="n">
        <v>1906</v>
      </c>
      <c r="B1914" t="n">
        <v>0</v>
      </c>
      <c r="C1914" t="n">
        <v>0</v>
      </c>
      <c r="D1914" t="n">
        <v>2112.670986889335</v>
      </c>
      <c r="E1914">
        <f>C1914&lt;0.05</f>
        <v/>
      </c>
      <c r="F1914">
        <f>A1914=$B$5</f>
        <v/>
      </c>
      <c r="G1914">
        <f>IF(E1914,A1914,10^9)</f>
        <v/>
      </c>
      <c r="H1914">
        <f>IF(E1914,D1914,10^9)</f>
        <v/>
      </c>
    </row>
    <row r="1915">
      <c r="A1915" t="n">
        <v>1907</v>
      </c>
      <c r="B1915" t="n">
        <v>0</v>
      </c>
      <c r="C1915" t="n">
        <v>0</v>
      </c>
      <c r="D1915" t="n">
        <v>2113.670986889335</v>
      </c>
      <c r="E1915">
        <f>C1915&lt;0.05</f>
        <v/>
      </c>
      <c r="F1915">
        <f>A1915=$B$5</f>
        <v/>
      </c>
      <c r="G1915">
        <f>IF(E1915,A1915,10^9)</f>
        <v/>
      </c>
      <c r="H1915">
        <f>IF(E1915,D1915,10^9)</f>
        <v/>
      </c>
    </row>
    <row r="1916">
      <c r="A1916" t="n">
        <v>1908</v>
      </c>
      <c r="B1916" t="n">
        <v>0</v>
      </c>
      <c r="C1916" t="n">
        <v>0</v>
      </c>
      <c r="D1916" t="n">
        <v>2114.670986889335</v>
      </c>
      <c r="E1916">
        <f>C1916&lt;0.05</f>
        <v/>
      </c>
      <c r="F1916">
        <f>A1916=$B$5</f>
        <v/>
      </c>
      <c r="G1916">
        <f>IF(E1916,A1916,10^9)</f>
        <v/>
      </c>
      <c r="H1916">
        <f>IF(E1916,D1916,10^9)</f>
        <v/>
      </c>
    </row>
    <row r="1917">
      <c r="A1917" t="n">
        <v>1909</v>
      </c>
      <c r="B1917" t="n">
        <v>0</v>
      </c>
      <c r="C1917" t="n">
        <v>0</v>
      </c>
      <c r="D1917" t="n">
        <v>2115.670986889335</v>
      </c>
      <c r="E1917">
        <f>C1917&lt;0.05</f>
        <v/>
      </c>
      <c r="F1917">
        <f>A1917=$B$5</f>
        <v/>
      </c>
      <c r="G1917">
        <f>IF(E1917,A1917,10^9)</f>
        <v/>
      </c>
      <c r="H1917">
        <f>IF(E1917,D1917,10^9)</f>
        <v/>
      </c>
    </row>
    <row r="1918">
      <c r="A1918" t="n">
        <v>1910</v>
      </c>
      <c r="B1918" t="n">
        <v>0</v>
      </c>
      <c r="C1918" t="n">
        <v>0</v>
      </c>
      <c r="D1918" t="n">
        <v>2116.670986889335</v>
      </c>
      <c r="E1918">
        <f>C1918&lt;0.05</f>
        <v/>
      </c>
      <c r="F1918">
        <f>A1918=$B$5</f>
        <v/>
      </c>
      <c r="G1918">
        <f>IF(E1918,A1918,10^9)</f>
        <v/>
      </c>
      <c r="H1918">
        <f>IF(E1918,D1918,10^9)</f>
        <v/>
      </c>
    </row>
    <row r="1919">
      <c r="A1919" t="n">
        <v>1911</v>
      </c>
      <c r="B1919" t="n">
        <v>0</v>
      </c>
      <c r="C1919" t="n">
        <v>0</v>
      </c>
      <c r="D1919" t="n">
        <v>2117.670986889335</v>
      </c>
      <c r="E1919">
        <f>C1919&lt;0.05</f>
        <v/>
      </c>
      <c r="F1919">
        <f>A1919=$B$5</f>
        <v/>
      </c>
      <c r="G1919">
        <f>IF(E1919,A1919,10^9)</f>
        <v/>
      </c>
      <c r="H1919">
        <f>IF(E1919,D1919,10^9)</f>
        <v/>
      </c>
    </row>
    <row r="1920">
      <c r="A1920" t="n">
        <v>1912</v>
      </c>
      <c r="B1920" t="n">
        <v>0</v>
      </c>
      <c r="C1920" t="n">
        <v>0</v>
      </c>
      <c r="D1920" t="n">
        <v>2118.670986889335</v>
      </c>
      <c r="E1920">
        <f>C1920&lt;0.05</f>
        <v/>
      </c>
      <c r="F1920">
        <f>A1920=$B$5</f>
        <v/>
      </c>
      <c r="G1920">
        <f>IF(E1920,A1920,10^9)</f>
        <v/>
      </c>
      <c r="H1920">
        <f>IF(E1920,D1920,10^9)</f>
        <v/>
      </c>
    </row>
    <row r="1921">
      <c r="A1921" t="n">
        <v>1913</v>
      </c>
      <c r="B1921" t="n">
        <v>0</v>
      </c>
      <c r="C1921" t="n">
        <v>0</v>
      </c>
      <c r="D1921" t="n">
        <v>2119.670986889335</v>
      </c>
      <c r="E1921">
        <f>C1921&lt;0.05</f>
        <v/>
      </c>
      <c r="F1921">
        <f>A1921=$B$5</f>
        <v/>
      </c>
      <c r="G1921">
        <f>IF(E1921,A1921,10^9)</f>
        <v/>
      </c>
      <c r="H1921">
        <f>IF(E1921,D1921,10^9)</f>
        <v/>
      </c>
    </row>
    <row r="1922">
      <c r="A1922" t="n">
        <v>1914</v>
      </c>
      <c r="B1922" t="n">
        <v>0</v>
      </c>
      <c r="C1922" t="n">
        <v>0</v>
      </c>
      <c r="D1922" t="n">
        <v>2120.670986889335</v>
      </c>
      <c r="E1922">
        <f>C1922&lt;0.05</f>
        <v/>
      </c>
      <c r="F1922">
        <f>A1922=$B$5</f>
        <v/>
      </c>
      <c r="G1922">
        <f>IF(E1922,A1922,10^9)</f>
        <v/>
      </c>
      <c r="H1922">
        <f>IF(E1922,D1922,10^9)</f>
        <v/>
      </c>
    </row>
    <row r="1923">
      <c r="A1923" t="n">
        <v>1915</v>
      </c>
      <c r="B1923" t="n">
        <v>0</v>
      </c>
      <c r="C1923" t="n">
        <v>0</v>
      </c>
      <c r="D1923" t="n">
        <v>2121.670986889335</v>
      </c>
      <c r="E1923">
        <f>C1923&lt;0.05</f>
        <v/>
      </c>
      <c r="F1923">
        <f>A1923=$B$5</f>
        <v/>
      </c>
      <c r="G1923">
        <f>IF(E1923,A1923,10^9)</f>
        <v/>
      </c>
      <c r="H1923">
        <f>IF(E1923,D1923,10^9)</f>
        <v/>
      </c>
    </row>
    <row r="1924">
      <c r="A1924" t="n">
        <v>1916</v>
      </c>
      <c r="B1924" t="n">
        <v>0</v>
      </c>
      <c r="C1924" t="n">
        <v>0</v>
      </c>
      <c r="D1924" t="n">
        <v>2122.670986889335</v>
      </c>
      <c r="E1924">
        <f>C1924&lt;0.05</f>
        <v/>
      </c>
      <c r="F1924">
        <f>A1924=$B$5</f>
        <v/>
      </c>
      <c r="G1924">
        <f>IF(E1924,A1924,10^9)</f>
        <v/>
      </c>
      <c r="H1924">
        <f>IF(E1924,D1924,10^9)</f>
        <v/>
      </c>
    </row>
    <row r="1925">
      <c r="A1925" t="n">
        <v>1917</v>
      </c>
      <c r="B1925" t="n">
        <v>0</v>
      </c>
      <c r="C1925" t="n">
        <v>0</v>
      </c>
      <c r="D1925" t="n">
        <v>2123.670986889335</v>
      </c>
      <c r="E1925">
        <f>C1925&lt;0.05</f>
        <v/>
      </c>
      <c r="F1925">
        <f>A1925=$B$5</f>
        <v/>
      </c>
      <c r="G1925">
        <f>IF(E1925,A1925,10^9)</f>
        <v/>
      </c>
      <c r="H1925">
        <f>IF(E1925,D1925,10^9)</f>
        <v/>
      </c>
    </row>
    <row r="1926">
      <c r="A1926" t="n">
        <v>1918</v>
      </c>
      <c r="B1926" t="n">
        <v>0</v>
      </c>
      <c r="C1926" t="n">
        <v>0</v>
      </c>
      <c r="D1926" t="n">
        <v>2124.670986889335</v>
      </c>
      <c r="E1926">
        <f>C1926&lt;0.05</f>
        <v/>
      </c>
      <c r="F1926">
        <f>A1926=$B$5</f>
        <v/>
      </c>
      <c r="G1926">
        <f>IF(E1926,A1926,10^9)</f>
        <v/>
      </c>
      <c r="H1926">
        <f>IF(E1926,D1926,10^9)</f>
        <v/>
      </c>
    </row>
    <row r="1927">
      <c r="A1927" t="n">
        <v>1919</v>
      </c>
      <c r="B1927" t="n">
        <v>0</v>
      </c>
      <c r="C1927" t="n">
        <v>0</v>
      </c>
      <c r="D1927" t="n">
        <v>2125.670986889335</v>
      </c>
      <c r="E1927">
        <f>C1927&lt;0.05</f>
        <v/>
      </c>
      <c r="F1927">
        <f>A1927=$B$5</f>
        <v/>
      </c>
      <c r="G1927">
        <f>IF(E1927,A1927,10^9)</f>
        <v/>
      </c>
      <c r="H1927">
        <f>IF(E1927,D1927,10^9)</f>
        <v/>
      </c>
    </row>
    <row r="1928">
      <c r="A1928" t="n">
        <v>1920</v>
      </c>
      <c r="B1928" t="n">
        <v>0</v>
      </c>
      <c r="C1928" t="n">
        <v>0</v>
      </c>
      <c r="D1928" t="n">
        <v>2126.670986889335</v>
      </c>
      <c r="E1928">
        <f>C1928&lt;0.05</f>
        <v/>
      </c>
      <c r="F1928">
        <f>A1928=$B$5</f>
        <v/>
      </c>
      <c r="G1928">
        <f>IF(E1928,A1928,10^9)</f>
        <v/>
      </c>
      <c r="H1928">
        <f>IF(E1928,D1928,10^9)</f>
        <v/>
      </c>
    </row>
    <row r="1929">
      <c r="A1929" t="n">
        <v>1921</v>
      </c>
      <c r="B1929" t="n">
        <v>0</v>
      </c>
      <c r="C1929" t="n">
        <v>0</v>
      </c>
      <c r="D1929" t="n">
        <v>2127.670986889335</v>
      </c>
      <c r="E1929">
        <f>C1929&lt;0.05</f>
        <v/>
      </c>
      <c r="F1929">
        <f>A1929=$B$5</f>
        <v/>
      </c>
      <c r="G1929">
        <f>IF(E1929,A1929,10^9)</f>
        <v/>
      </c>
      <c r="H1929">
        <f>IF(E1929,D1929,10^9)</f>
        <v/>
      </c>
    </row>
    <row r="1930">
      <c r="A1930" t="n">
        <v>1922</v>
      </c>
      <c r="B1930" t="n">
        <v>0</v>
      </c>
      <c r="C1930" t="n">
        <v>0</v>
      </c>
      <c r="D1930" t="n">
        <v>2128.670986889335</v>
      </c>
      <c r="E1930">
        <f>C1930&lt;0.05</f>
        <v/>
      </c>
      <c r="F1930">
        <f>A1930=$B$5</f>
        <v/>
      </c>
      <c r="G1930">
        <f>IF(E1930,A1930,10^9)</f>
        <v/>
      </c>
      <c r="H1930">
        <f>IF(E1930,D1930,10^9)</f>
        <v/>
      </c>
    </row>
    <row r="1931">
      <c r="A1931" t="n">
        <v>1923</v>
      </c>
      <c r="B1931" t="n">
        <v>0</v>
      </c>
      <c r="C1931" t="n">
        <v>0</v>
      </c>
      <c r="D1931" t="n">
        <v>2129.670986889335</v>
      </c>
      <c r="E1931">
        <f>C1931&lt;0.05</f>
        <v/>
      </c>
      <c r="F1931">
        <f>A1931=$B$5</f>
        <v/>
      </c>
      <c r="G1931">
        <f>IF(E1931,A1931,10^9)</f>
        <v/>
      </c>
      <c r="H1931">
        <f>IF(E1931,D1931,10^9)</f>
        <v/>
      </c>
    </row>
    <row r="1932">
      <c r="A1932" t="n">
        <v>1924</v>
      </c>
      <c r="B1932" t="n">
        <v>0</v>
      </c>
      <c r="C1932" t="n">
        <v>0</v>
      </c>
      <c r="D1932" t="n">
        <v>2130.670986889335</v>
      </c>
      <c r="E1932">
        <f>C1932&lt;0.05</f>
        <v/>
      </c>
      <c r="F1932">
        <f>A1932=$B$5</f>
        <v/>
      </c>
      <c r="G1932">
        <f>IF(E1932,A1932,10^9)</f>
        <v/>
      </c>
      <c r="H1932">
        <f>IF(E1932,D1932,10^9)</f>
        <v/>
      </c>
    </row>
    <row r="1933">
      <c r="A1933" t="n">
        <v>1925</v>
      </c>
      <c r="B1933" t="n">
        <v>0</v>
      </c>
      <c r="C1933" t="n">
        <v>0</v>
      </c>
      <c r="D1933" t="n">
        <v>2131.670986889335</v>
      </c>
      <c r="E1933">
        <f>C1933&lt;0.05</f>
        <v/>
      </c>
      <c r="F1933">
        <f>A1933=$B$5</f>
        <v/>
      </c>
      <c r="G1933">
        <f>IF(E1933,A1933,10^9)</f>
        <v/>
      </c>
      <c r="H1933">
        <f>IF(E1933,D1933,10^9)</f>
        <v/>
      </c>
    </row>
    <row r="1934">
      <c r="A1934" t="n">
        <v>1926</v>
      </c>
      <c r="B1934" t="n">
        <v>0</v>
      </c>
      <c r="C1934" t="n">
        <v>0</v>
      </c>
      <c r="D1934" t="n">
        <v>2132.670986889335</v>
      </c>
      <c r="E1934">
        <f>C1934&lt;0.05</f>
        <v/>
      </c>
      <c r="F1934">
        <f>A1934=$B$5</f>
        <v/>
      </c>
      <c r="G1934">
        <f>IF(E1934,A1934,10^9)</f>
        <v/>
      </c>
      <c r="H1934">
        <f>IF(E1934,D1934,10^9)</f>
        <v/>
      </c>
    </row>
    <row r="1935">
      <c r="A1935" t="n">
        <v>1927</v>
      </c>
      <c r="B1935" t="n">
        <v>0</v>
      </c>
      <c r="C1935" t="n">
        <v>0</v>
      </c>
      <c r="D1935" t="n">
        <v>2133.670986889335</v>
      </c>
      <c r="E1935">
        <f>C1935&lt;0.05</f>
        <v/>
      </c>
      <c r="F1935">
        <f>A1935=$B$5</f>
        <v/>
      </c>
      <c r="G1935">
        <f>IF(E1935,A1935,10^9)</f>
        <v/>
      </c>
      <c r="H1935">
        <f>IF(E1935,D1935,10^9)</f>
        <v/>
      </c>
    </row>
    <row r="1936">
      <c r="A1936" t="n">
        <v>1928</v>
      </c>
      <c r="B1936" t="n">
        <v>0</v>
      </c>
      <c r="C1936" t="n">
        <v>0</v>
      </c>
      <c r="D1936" t="n">
        <v>2134.670986889335</v>
      </c>
      <c r="E1936">
        <f>C1936&lt;0.05</f>
        <v/>
      </c>
      <c r="F1936">
        <f>A1936=$B$5</f>
        <v/>
      </c>
      <c r="G1936">
        <f>IF(E1936,A1936,10^9)</f>
        <v/>
      </c>
      <c r="H1936">
        <f>IF(E1936,D1936,10^9)</f>
        <v/>
      </c>
    </row>
    <row r="1937">
      <c r="A1937" t="n">
        <v>1929</v>
      </c>
      <c r="B1937" t="n">
        <v>0</v>
      </c>
      <c r="C1937" t="n">
        <v>0</v>
      </c>
      <c r="D1937" t="n">
        <v>2135.670986889335</v>
      </c>
      <c r="E1937">
        <f>C1937&lt;0.05</f>
        <v/>
      </c>
      <c r="F1937">
        <f>A1937=$B$5</f>
        <v/>
      </c>
      <c r="G1937">
        <f>IF(E1937,A1937,10^9)</f>
        <v/>
      </c>
      <c r="H1937">
        <f>IF(E1937,D1937,10^9)</f>
        <v/>
      </c>
    </row>
    <row r="1938">
      <c r="A1938" t="n">
        <v>1930</v>
      </c>
      <c r="B1938" t="n">
        <v>0</v>
      </c>
      <c r="C1938" t="n">
        <v>0</v>
      </c>
      <c r="D1938" t="n">
        <v>2136.670986889335</v>
      </c>
      <c r="E1938">
        <f>C1938&lt;0.05</f>
        <v/>
      </c>
      <c r="F1938">
        <f>A1938=$B$5</f>
        <v/>
      </c>
      <c r="G1938">
        <f>IF(E1938,A1938,10^9)</f>
        <v/>
      </c>
      <c r="H1938">
        <f>IF(E1938,D1938,10^9)</f>
        <v/>
      </c>
    </row>
    <row r="1939">
      <c r="A1939" t="n">
        <v>1931</v>
      </c>
      <c r="B1939" t="n">
        <v>0</v>
      </c>
      <c r="C1939" t="n">
        <v>0</v>
      </c>
      <c r="D1939" t="n">
        <v>2137.670986889335</v>
      </c>
      <c r="E1939">
        <f>C1939&lt;0.05</f>
        <v/>
      </c>
      <c r="F1939">
        <f>A1939=$B$5</f>
        <v/>
      </c>
      <c r="G1939">
        <f>IF(E1939,A1939,10^9)</f>
        <v/>
      </c>
      <c r="H1939">
        <f>IF(E1939,D1939,10^9)</f>
        <v/>
      </c>
    </row>
    <row r="1940">
      <c r="A1940" t="n">
        <v>1932</v>
      </c>
      <c r="B1940" t="n">
        <v>0</v>
      </c>
      <c r="C1940" t="n">
        <v>0</v>
      </c>
      <c r="D1940" t="n">
        <v>2138.670986889335</v>
      </c>
      <c r="E1940">
        <f>C1940&lt;0.05</f>
        <v/>
      </c>
      <c r="F1940">
        <f>A1940=$B$5</f>
        <v/>
      </c>
      <c r="G1940">
        <f>IF(E1940,A1940,10^9)</f>
        <v/>
      </c>
      <c r="H1940">
        <f>IF(E1940,D1940,10^9)</f>
        <v/>
      </c>
    </row>
    <row r="1941">
      <c r="A1941" t="n">
        <v>1933</v>
      </c>
      <c r="B1941" t="n">
        <v>0</v>
      </c>
      <c r="C1941" t="n">
        <v>0</v>
      </c>
      <c r="D1941" t="n">
        <v>2139.670986889335</v>
      </c>
      <c r="E1941">
        <f>C1941&lt;0.05</f>
        <v/>
      </c>
      <c r="F1941">
        <f>A1941=$B$5</f>
        <v/>
      </c>
      <c r="G1941">
        <f>IF(E1941,A1941,10^9)</f>
        <v/>
      </c>
      <c r="H1941">
        <f>IF(E1941,D1941,10^9)</f>
        <v/>
      </c>
    </row>
    <row r="1942">
      <c r="A1942" t="n">
        <v>1934</v>
      </c>
      <c r="B1942" t="n">
        <v>0</v>
      </c>
      <c r="C1942" t="n">
        <v>0</v>
      </c>
      <c r="D1942" t="n">
        <v>2140.670986889335</v>
      </c>
      <c r="E1942">
        <f>C1942&lt;0.05</f>
        <v/>
      </c>
      <c r="F1942">
        <f>A1942=$B$5</f>
        <v/>
      </c>
      <c r="G1942">
        <f>IF(E1942,A1942,10^9)</f>
        <v/>
      </c>
      <c r="H1942">
        <f>IF(E1942,D1942,10^9)</f>
        <v/>
      </c>
    </row>
    <row r="1943">
      <c r="A1943" t="n">
        <v>1935</v>
      </c>
      <c r="B1943" t="n">
        <v>0</v>
      </c>
      <c r="C1943" t="n">
        <v>0</v>
      </c>
      <c r="D1943" t="n">
        <v>2141.670986889335</v>
      </c>
      <c r="E1943">
        <f>C1943&lt;0.05</f>
        <v/>
      </c>
      <c r="F1943">
        <f>A1943=$B$5</f>
        <v/>
      </c>
      <c r="G1943">
        <f>IF(E1943,A1943,10^9)</f>
        <v/>
      </c>
      <c r="H1943">
        <f>IF(E1943,D1943,10^9)</f>
        <v/>
      </c>
    </row>
    <row r="1944">
      <c r="A1944" t="n">
        <v>1936</v>
      </c>
      <c r="B1944" t="n">
        <v>0</v>
      </c>
      <c r="C1944" t="n">
        <v>0</v>
      </c>
      <c r="D1944" t="n">
        <v>2142.670986889335</v>
      </c>
      <c r="E1944">
        <f>C1944&lt;0.05</f>
        <v/>
      </c>
      <c r="F1944">
        <f>A1944=$B$5</f>
        <v/>
      </c>
      <c r="G1944">
        <f>IF(E1944,A1944,10^9)</f>
        <v/>
      </c>
      <c r="H1944">
        <f>IF(E1944,D1944,10^9)</f>
        <v/>
      </c>
    </row>
    <row r="1945">
      <c r="A1945" t="n">
        <v>1937</v>
      </c>
      <c r="B1945" t="n">
        <v>0</v>
      </c>
      <c r="C1945" t="n">
        <v>0</v>
      </c>
      <c r="D1945" t="n">
        <v>2143.670986889335</v>
      </c>
      <c r="E1945">
        <f>C1945&lt;0.05</f>
        <v/>
      </c>
      <c r="F1945">
        <f>A1945=$B$5</f>
        <v/>
      </c>
      <c r="G1945">
        <f>IF(E1945,A1945,10^9)</f>
        <v/>
      </c>
      <c r="H1945">
        <f>IF(E1945,D1945,10^9)</f>
        <v/>
      </c>
    </row>
    <row r="1946">
      <c r="A1946" t="n">
        <v>1938</v>
      </c>
      <c r="B1946" t="n">
        <v>0</v>
      </c>
      <c r="C1946" t="n">
        <v>0</v>
      </c>
      <c r="D1946" t="n">
        <v>2144.670986889335</v>
      </c>
      <c r="E1946">
        <f>C1946&lt;0.05</f>
        <v/>
      </c>
      <c r="F1946">
        <f>A1946=$B$5</f>
        <v/>
      </c>
      <c r="G1946">
        <f>IF(E1946,A1946,10^9)</f>
        <v/>
      </c>
      <c r="H1946">
        <f>IF(E1946,D1946,10^9)</f>
        <v/>
      </c>
    </row>
    <row r="1947">
      <c r="A1947" t="n">
        <v>1939</v>
      </c>
      <c r="B1947" t="n">
        <v>0</v>
      </c>
      <c r="C1947" t="n">
        <v>0</v>
      </c>
      <c r="D1947" t="n">
        <v>2145.670986889335</v>
      </c>
      <c r="E1947">
        <f>C1947&lt;0.05</f>
        <v/>
      </c>
      <c r="F1947">
        <f>A1947=$B$5</f>
        <v/>
      </c>
      <c r="G1947">
        <f>IF(E1947,A1947,10^9)</f>
        <v/>
      </c>
      <c r="H1947">
        <f>IF(E1947,D1947,10^9)</f>
        <v/>
      </c>
    </row>
    <row r="1948">
      <c r="A1948" t="n">
        <v>1940</v>
      </c>
      <c r="B1948" t="n">
        <v>0</v>
      </c>
      <c r="C1948" t="n">
        <v>0</v>
      </c>
      <c r="D1948" t="n">
        <v>2146.670986889335</v>
      </c>
      <c r="E1948">
        <f>C1948&lt;0.05</f>
        <v/>
      </c>
      <c r="F1948">
        <f>A1948=$B$5</f>
        <v/>
      </c>
      <c r="G1948">
        <f>IF(E1948,A1948,10^9)</f>
        <v/>
      </c>
      <c r="H1948">
        <f>IF(E1948,D1948,10^9)</f>
        <v/>
      </c>
    </row>
    <row r="1949">
      <c r="A1949" t="n">
        <v>1941</v>
      </c>
      <c r="B1949" t="n">
        <v>0</v>
      </c>
      <c r="C1949" t="n">
        <v>0</v>
      </c>
      <c r="D1949" t="n">
        <v>2147.670986889335</v>
      </c>
      <c r="E1949">
        <f>C1949&lt;0.05</f>
        <v/>
      </c>
      <c r="F1949">
        <f>A1949=$B$5</f>
        <v/>
      </c>
      <c r="G1949">
        <f>IF(E1949,A1949,10^9)</f>
        <v/>
      </c>
      <c r="H1949">
        <f>IF(E1949,D1949,10^9)</f>
        <v/>
      </c>
    </row>
    <row r="1950">
      <c r="A1950" t="n">
        <v>1942</v>
      </c>
      <c r="B1950" t="n">
        <v>0</v>
      </c>
      <c r="C1950" t="n">
        <v>0</v>
      </c>
      <c r="D1950" t="n">
        <v>2148.670986889335</v>
      </c>
      <c r="E1950">
        <f>C1950&lt;0.05</f>
        <v/>
      </c>
      <c r="F1950">
        <f>A1950=$B$5</f>
        <v/>
      </c>
      <c r="G1950">
        <f>IF(E1950,A1950,10^9)</f>
        <v/>
      </c>
      <c r="H1950">
        <f>IF(E1950,D1950,10^9)</f>
        <v/>
      </c>
    </row>
    <row r="1951">
      <c r="A1951" t="n">
        <v>1943</v>
      </c>
      <c r="B1951" t="n">
        <v>0</v>
      </c>
      <c r="C1951" t="n">
        <v>0</v>
      </c>
      <c r="D1951" t="n">
        <v>2149.670986889335</v>
      </c>
      <c r="E1951">
        <f>C1951&lt;0.05</f>
        <v/>
      </c>
      <c r="F1951">
        <f>A1951=$B$5</f>
        <v/>
      </c>
      <c r="G1951">
        <f>IF(E1951,A1951,10^9)</f>
        <v/>
      </c>
      <c r="H1951">
        <f>IF(E1951,D1951,10^9)</f>
        <v/>
      </c>
    </row>
    <row r="1952">
      <c r="A1952" t="n">
        <v>1944</v>
      </c>
      <c r="B1952" t="n">
        <v>0</v>
      </c>
      <c r="C1952" t="n">
        <v>0</v>
      </c>
      <c r="D1952" t="n">
        <v>2150.670986889335</v>
      </c>
      <c r="E1952">
        <f>C1952&lt;0.05</f>
        <v/>
      </c>
      <c r="F1952">
        <f>A1952=$B$5</f>
        <v/>
      </c>
      <c r="G1952">
        <f>IF(E1952,A1952,10^9)</f>
        <v/>
      </c>
      <c r="H1952">
        <f>IF(E1952,D1952,10^9)</f>
        <v/>
      </c>
    </row>
    <row r="1953">
      <c r="A1953" t="n">
        <v>1945</v>
      </c>
      <c r="B1953" t="n">
        <v>0</v>
      </c>
      <c r="C1953" t="n">
        <v>0</v>
      </c>
      <c r="D1953" t="n">
        <v>2151.670986889335</v>
      </c>
      <c r="E1953">
        <f>C1953&lt;0.05</f>
        <v/>
      </c>
      <c r="F1953">
        <f>A1953=$B$5</f>
        <v/>
      </c>
      <c r="G1953">
        <f>IF(E1953,A1953,10^9)</f>
        <v/>
      </c>
      <c r="H1953">
        <f>IF(E1953,D1953,10^9)</f>
        <v/>
      </c>
    </row>
    <row r="1954">
      <c r="A1954" t="n">
        <v>1946</v>
      </c>
      <c r="B1954" t="n">
        <v>0</v>
      </c>
      <c r="C1954" t="n">
        <v>0</v>
      </c>
      <c r="D1954" t="n">
        <v>2152.670986889335</v>
      </c>
      <c r="E1954">
        <f>C1954&lt;0.05</f>
        <v/>
      </c>
      <c r="F1954">
        <f>A1954=$B$5</f>
        <v/>
      </c>
      <c r="G1954">
        <f>IF(E1954,A1954,10^9)</f>
        <v/>
      </c>
      <c r="H1954">
        <f>IF(E1954,D1954,10^9)</f>
        <v/>
      </c>
    </row>
    <row r="1955">
      <c r="A1955" t="n">
        <v>1947</v>
      </c>
      <c r="B1955" t="n">
        <v>0</v>
      </c>
      <c r="C1955" t="n">
        <v>0</v>
      </c>
      <c r="D1955" t="n">
        <v>2153.670986889335</v>
      </c>
      <c r="E1955">
        <f>C1955&lt;0.05</f>
        <v/>
      </c>
      <c r="F1955">
        <f>A1955=$B$5</f>
        <v/>
      </c>
      <c r="G1955">
        <f>IF(E1955,A1955,10^9)</f>
        <v/>
      </c>
      <c r="H1955">
        <f>IF(E1955,D1955,10^9)</f>
        <v/>
      </c>
    </row>
    <row r="1956">
      <c r="A1956" t="n">
        <v>1948</v>
      </c>
      <c r="B1956" t="n">
        <v>0</v>
      </c>
      <c r="C1956" t="n">
        <v>0</v>
      </c>
      <c r="D1956" t="n">
        <v>2154.670986889335</v>
      </c>
      <c r="E1956">
        <f>C1956&lt;0.05</f>
        <v/>
      </c>
      <c r="F1956">
        <f>A1956=$B$5</f>
        <v/>
      </c>
      <c r="G1956">
        <f>IF(E1956,A1956,10^9)</f>
        <v/>
      </c>
      <c r="H1956">
        <f>IF(E1956,D1956,10^9)</f>
        <v/>
      </c>
    </row>
    <row r="1957">
      <c r="A1957" t="n">
        <v>1949</v>
      </c>
      <c r="B1957" t="n">
        <v>0</v>
      </c>
      <c r="C1957" t="n">
        <v>0</v>
      </c>
      <c r="D1957" t="n">
        <v>2155.670986889335</v>
      </c>
      <c r="E1957">
        <f>C1957&lt;0.05</f>
        <v/>
      </c>
      <c r="F1957">
        <f>A1957=$B$5</f>
        <v/>
      </c>
      <c r="G1957">
        <f>IF(E1957,A1957,10^9)</f>
        <v/>
      </c>
      <c r="H1957">
        <f>IF(E1957,D1957,10^9)</f>
        <v/>
      </c>
    </row>
    <row r="1958">
      <c r="A1958" t="n">
        <v>1950</v>
      </c>
      <c r="B1958" t="n">
        <v>0</v>
      </c>
      <c r="C1958" t="n">
        <v>0</v>
      </c>
      <c r="D1958" t="n">
        <v>2156.670986889335</v>
      </c>
      <c r="E1958">
        <f>C1958&lt;0.05</f>
        <v/>
      </c>
      <c r="F1958">
        <f>A1958=$B$5</f>
        <v/>
      </c>
      <c r="G1958">
        <f>IF(E1958,A1958,10^9)</f>
        <v/>
      </c>
      <c r="H1958">
        <f>IF(E1958,D1958,10^9)</f>
        <v/>
      </c>
    </row>
    <row r="1959">
      <c r="A1959" t="n">
        <v>1951</v>
      </c>
      <c r="B1959" t="n">
        <v>0</v>
      </c>
      <c r="C1959" t="n">
        <v>0</v>
      </c>
      <c r="D1959" t="n">
        <v>2157.670986889335</v>
      </c>
      <c r="E1959">
        <f>C1959&lt;0.05</f>
        <v/>
      </c>
      <c r="F1959">
        <f>A1959=$B$5</f>
        <v/>
      </c>
      <c r="G1959">
        <f>IF(E1959,A1959,10^9)</f>
        <v/>
      </c>
      <c r="H1959">
        <f>IF(E1959,D1959,10^9)</f>
        <v/>
      </c>
    </row>
    <row r="1960">
      <c r="A1960" t="n">
        <v>1952</v>
      </c>
      <c r="B1960" t="n">
        <v>0</v>
      </c>
      <c r="C1960" t="n">
        <v>0</v>
      </c>
      <c r="D1960" t="n">
        <v>2158.670986889335</v>
      </c>
      <c r="E1960">
        <f>C1960&lt;0.05</f>
        <v/>
      </c>
      <c r="F1960">
        <f>A1960=$B$5</f>
        <v/>
      </c>
      <c r="G1960">
        <f>IF(E1960,A1960,10^9)</f>
        <v/>
      </c>
      <c r="H1960">
        <f>IF(E1960,D1960,10^9)</f>
        <v/>
      </c>
    </row>
    <row r="1961">
      <c r="A1961" t="n">
        <v>1953</v>
      </c>
      <c r="B1961" t="n">
        <v>0</v>
      </c>
      <c r="C1961" t="n">
        <v>0</v>
      </c>
      <c r="D1961" t="n">
        <v>2159.670986889335</v>
      </c>
      <c r="E1961">
        <f>C1961&lt;0.05</f>
        <v/>
      </c>
      <c r="F1961">
        <f>A1961=$B$5</f>
        <v/>
      </c>
      <c r="G1961">
        <f>IF(E1961,A1961,10^9)</f>
        <v/>
      </c>
      <c r="H1961">
        <f>IF(E1961,D1961,10^9)</f>
        <v/>
      </c>
    </row>
    <row r="1962">
      <c r="A1962" t="n">
        <v>1954</v>
      </c>
      <c r="B1962" t="n">
        <v>0</v>
      </c>
      <c r="C1962" t="n">
        <v>0</v>
      </c>
      <c r="D1962" t="n">
        <v>2160.670986889335</v>
      </c>
      <c r="E1962">
        <f>C1962&lt;0.05</f>
        <v/>
      </c>
      <c r="F1962">
        <f>A1962=$B$5</f>
        <v/>
      </c>
      <c r="G1962">
        <f>IF(E1962,A1962,10^9)</f>
        <v/>
      </c>
      <c r="H1962">
        <f>IF(E1962,D1962,10^9)</f>
        <v/>
      </c>
    </row>
    <row r="1963">
      <c r="A1963" t="n">
        <v>1955</v>
      </c>
      <c r="B1963" t="n">
        <v>0</v>
      </c>
      <c r="C1963" t="n">
        <v>0</v>
      </c>
      <c r="D1963" t="n">
        <v>2161.670986889335</v>
      </c>
      <c r="E1963">
        <f>C1963&lt;0.05</f>
        <v/>
      </c>
      <c r="F1963">
        <f>A1963=$B$5</f>
        <v/>
      </c>
      <c r="G1963">
        <f>IF(E1963,A1963,10^9)</f>
        <v/>
      </c>
      <c r="H1963">
        <f>IF(E1963,D1963,10^9)</f>
        <v/>
      </c>
    </row>
    <row r="1964">
      <c r="A1964" t="n">
        <v>1956</v>
      </c>
      <c r="B1964" t="n">
        <v>0</v>
      </c>
      <c r="C1964" t="n">
        <v>0</v>
      </c>
      <c r="D1964" t="n">
        <v>2162.670986889335</v>
      </c>
      <c r="E1964">
        <f>C1964&lt;0.05</f>
        <v/>
      </c>
      <c r="F1964">
        <f>A1964=$B$5</f>
        <v/>
      </c>
      <c r="G1964">
        <f>IF(E1964,A1964,10^9)</f>
        <v/>
      </c>
      <c r="H1964">
        <f>IF(E1964,D1964,10^9)</f>
        <v/>
      </c>
    </row>
    <row r="1965">
      <c r="A1965" t="n">
        <v>1957</v>
      </c>
      <c r="B1965" t="n">
        <v>0</v>
      </c>
      <c r="C1965" t="n">
        <v>0</v>
      </c>
      <c r="D1965" t="n">
        <v>2163.670986889335</v>
      </c>
      <c r="E1965">
        <f>C1965&lt;0.05</f>
        <v/>
      </c>
      <c r="F1965">
        <f>A1965=$B$5</f>
        <v/>
      </c>
      <c r="G1965">
        <f>IF(E1965,A1965,10^9)</f>
        <v/>
      </c>
      <c r="H1965">
        <f>IF(E1965,D1965,10^9)</f>
        <v/>
      </c>
    </row>
    <row r="1966">
      <c r="A1966" t="n">
        <v>1958</v>
      </c>
      <c r="B1966" t="n">
        <v>0</v>
      </c>
      <c r="C1966" t="n">
        <v>0</v>
      </c>
      <c r="D1966" t="n">
        <v>2164.670986889335</v>
      </c>
      <c r="E1966">
        <f>C1966&lt;0.05</f>
        <v/>
      </c>
      <c r="F1966">
        <f>A1966=$B$5</f>
        <v/>
      </c>
      <c r="G1966">
        <f>IF(E1966,A1966,10^9)</f>
        <v/>
      </c>
      <c r="H1966">
        <f>IF(E1966,D1966,10^9)</f>
        <v/>
      </c>
    </row>
    <row r="1967">
      <c r="A1967" t="n">
        <v>1959</v>
      </c>
      <c r="B1967" t="n">
        <v>0</v>
      </c>
      <c r="C1967" t="n">
        <v>0</v>
      </c>
      <c r="D1967" t="n">
        <v>2165.670986889335</v>
      </c>
      <c r="E1967">
        <f>C1967&lt;0.05</f>
        <v/>
      </c>
      <c r="F1967">
        <f>A1967=$B$5</f>
        <v/>
      </c>
      <c r="G1967">
        <f>IF(E1967,A1967,10^9)</f>
        <v/>
      </c>
      <c r="H1967">
        <f>IF(E1967,D1967,10^9)</f>
        <v/>
      </c>
    </row>
    <row r="1968">
      <c r="A1968" t="n">
        <v>1960</v>
      </c>
      <c r="B1968" t="n">
        <v>0</v>
      </c>
      <c r="C1968" t="n">
        <v>0</v>
      </c>
      <c r="D1968" t="n">
        <v>2166.670986889335</v>
      </c>
      <c r="E1968">
        <f>C1968&lt;0.05</f>
        <v/>
      </c>
      <c r="F1968">
        <f>A1968=$B$5</f>
        <v/>
      </c>
      <c r="G1968">
        <f>IF(E1968,A1968,10^9)</f>
        <v/>
      </c>
      <c r="H1968">
        <f>IF(E1968,D1968,10^9)</f>
        <v/>
      </c>
    </row>
    <row r="1969">
      <c r="A1969" t="n">
        <v>1961</v>
      </c>
      <c r="B1969" t="n">
        <v>0</v>
      </c>
      <c r="C1969" t="n">
        <v>0</v>
      </c>
      <c r="D1969" t="n">
        <v>2167.670986889335</v>
      </c>
      <c r="E1969">
        <f>C1969&lt;0.05</f>
        <v/>
      </c>
      <c r="F1969">
        <f>A1969=$B$5</f>
        <v/>
      </c>
      <c r="G1969">
        <f>IF(E1969,A1969,10^9)</f>
        <v/>
      </c>
      <c r="H1969">
        <f>IF(E1969,D1969,10^9)</f>
        <v/>
      </c>
    </row>
    <row r="1970">
      <c r="A1970" t="n">
        <v>1962</v>
      </c>
      <c r="B1970" t="n">
        <v>0</v>
      </c>
      <c r="C1970" t="n">
        <v>0</v>
      </c>
      <c r="D1970" t="n">
        <v>2168.670986889335</v>
      </c>
      <c r="E1970">
        <f>C1970&lt;0.05</f>
        <v/>
      </c>
      <c r="F1970">
        <f>A1970=$B$5</f>
        <v/>
      </c>
      <c r="G1970">
        <f>IF(E1970,A1970,10^9)</f>
        <v/>
      </c>
      <c r="H1970">
        <f>IF(E1970,D1970,10^9)</f>
        <v/>
      </c>
    </row>
    <row r="1971">
      <c r="A1971" t="n">
        <v>1963</v>
      </c>
      <c r="B1971" t="n">
        <v>0</v>
      </c>
      <c r="C1971" t="n">
        <v>0</v>
      </c>
      <c r="D1971" t="n">
        <v>2169.670986889335</v>
      </c>
      <c r="E1971">
        <f>C1971&lt;0.05</f>
        <v/>
      </c>
      <c r="F1971">
        <f>A1971=$B$5</f>
        <v/>
      </c>
      <c r="G1971">
        <f>IF(E1971,A1971,10^9)</f>
        <v/>
      </c>
      <c r="H1971">
        <f>IF(E1971,D1971,10^9)</f>
        <v/>
      </c>
    </row>
    <row r="1972">
      <c r="A1972" t="n">
        <v>1964</v>
      </c>
      <c r="B1972" t="n">
        <v>0</v>
      </c>
      <c r="C1972" t="n">
        <v>0</v>
      </c>
      <c r="D1972" t="n">
        <v>2170.670986889335</v>
      </c>
      <c r="E1972">
        <f>C1972&lt;0.05</f>
        <v/>
      </c>
      <c r="F1972">
        <f>A1972=$B$5</f>
        <v/>
      </c>
      <c r="G1972">
        <f>IF(E1972,A1972,10^9)</f>
        <v/>
      </c>
      <c r="H1972">
        <f>IF(E1972,D1972,10^9)</f>
        <v/>
      </c>
    </row>
    <row r="1973">
      <c r="A1973" t="n">
        <v>1965</v>
      </c>
      <c r="B1973" t="n">
        <v>0</v>
      </c>
      <c r="C1973" t="n">
        <v>0</v>
      </c>
      <c r="D1973" t="n">
        <v>2171.670986889335</v>
      </c>
      <c r="E1973">
        <f>C1973&lt;0.05</f>
        <v/>
      </c>
      <c r="F1973">
        <f>A1973=$B$5</f>
        <v/>
      </c>
      <c r="G1973">
        <f>IF(E1973,A1973,10^9)</f>
        <v/>
      </c>
      <c r="H1973">
        <f>IF(E1973,D1973,10^9)</f>
        <v/>
      </c>
    </row>
    <row r="1974">
      <c r="A1974" t="n">
        <v>1966</v>
      </c>
      <c r="B1974" t="n">
        <v>0</v>
      </c>
      <c r="C1974" t="n">
        <v>0</v>
      </c>
      <c r="D1974" t="n">
        <v>2172.670986889335</v>
      </c>
      <c r="E1974">
        <f>C1974&lt;0.05</f>
        <v/>
      </c>
      <c r="F1974">
        <f>A1974=$B$5</f>
        <v/>
      </c>
      <c r="G1974">
        <f>IF(E1974,A1974,10^9)</f>
        <v/>
      </c>
      <c r="H1974">
        <f>IF(E1974,D1974,10^9)</f>
        <v/>
      </c>
    </row>
    <row r="1975">
      <c r="A1975" t="n">
        <v>1967</v>
      </c>
      <c r="B1975" t="n">
        <v>0</v>
      </c>
      <c r="C1975" t="n">
        <v>0</v>
      </c>
      <c r="D1975" t="n">
        <v>2173.670986889335</v>
      </c>
      <c r="E1975">
        <f>C1975&lt;0.05</f>
        <v/>
      </c>
      <c r="F1975">
        <f>A1975=$B$5</f>
        <v/>
      </c>
      <c r="G1975">
        <f>IF(E1975,A1975,10^9)</f>
        <v/>
      </c>
      <c r="H1975">
        <f>IF(E1975,D1975,10^9)</f>
        <v/>
      </c>
    </row>
    <row r="1976">
      <c r="A1976" t="n">
        <v>1968</v>
      </c>
      <c r="B1976" t="n">
        <v>0</v>
      </c>
      <c r="C1976" t="n">
        <v>0</v>
      </c>
      <c r="D1976" t="n">
        <v>2174.670986889335</v>
      </c>
      <c r="E1976">
        <f>C1976&lt;0.05</f>
        <v/>
      </c>
      <c r="F1976">
        <f>A1976=$B$5</f>
        <v/>
      </c>
      <c r="G1976">
        <f>IF(E1976,A1976,10^9)</f>
        <v/>
      </c>
      <c r="H1976">
        <f>IF(E1976,D1976,10^9)</f>
        <v/>
      </c>
    </row>
    <row r="1977">
      <c r="A1977" t="n">
        <v>1969</v>
      </c>
      <c r="B1977" t="n">
        <v>0</v>
      </c>
      <c r="C1977" t="n">
        <v>0</v>
      </c>
      <c r="D1977" t="n">
        <v>2175.670986889335</v>
      </c>
      <c r="E1977">
        <f>C1977&lt;0.05</f>
        <v/>
      </c>
      <c r="F1977">
        <f>A1977=$B$5</f>
        <v/>
      </c>
      <c r="G1977">
        <f>IF(E1977,A1977,10^9)</f>
        <v/>
      </c>
      <c r="H1977">
        <f>IF(E1977,D1977,10^9)</f>
        <v/>
      </c>
    </row>
    <row r="1978">
      <c r="A1978" t="n">
        <v>1970</v>
      </c>
      <c r="B1978" t="n">
        <v>0</v>
      </c>
      <c r="C1978" t="n">
        <v>0</v>
      </c>
      <c r="D1978" t="n">
        <v>2176.670986889335</v>
      </c>
      <c r="E1978">
        <f>C1978&lt;0.05</f>
        <v/>
      </c>
      <c r="F1978">
        <f>A1978=$B$5</f>
        <v/>
      </c>
      <c r="G1978">
        <f>IF(E1978,A1978,10^9)</f>
        <v/>
      </c>
      <c r="H1978">
        <f>IF(E1978,D1978,10^9)</f>
        <v/>
      </c>
    </row>
    <row r="1979">
      <c r="A1979" t="n">
        <v>1971</v>
      </c>
      <c r="B1979" t="n">
        <v>0</v>
      </c>
      <c r="C1979" t="n">
        <v>0</v>
      </c>
      <c r="D1979" t="n">
        <v>2177.670986889335</v>
      </c>
      <c r="E1979">
        <f>C1979&lt;0.05</f>
        <v/>
      </c>
      <c r="F1979">
        <f>A1979=$B$5</f>
        <v/>
      </c>
      <c r="G1979">
        <f>IF(E1979,A1979,10^9)</f>
        <v/>
      </c>
      <c r="H1979">
        <f>IF(E1979,D1979,10^9)</f>
        <v/>
      </c>
    </row>
    <row r="1980">
      <c r="A1980" t="n">
        <v>1972</v>
      </c>
      <c r="B1980" t="n">
        <v>0</v>
      </c>
      <c r="C1980" t="n">
        <v>0</v>
      </c>
      <c r="D1980" t="n">
        <v>2178.670986889335</v>
      </c>
      <c r="E1980">
        <f>C1980&lt;0.05</f>
        <v/>
      </c>
      <c r="F1980">
        <f>A1980=$B$5</f>
        <v/>
      </c>
      <c r="G1980">
        <f>IF(E1980,A1980,10^9)</f>
        <v/>
      </c>
      <c r="H1980">
        <f>IF(E1980,D1980,10^9)</f>
        <v/>
      </c>
    </row>
    <row r="1981">
      <c r="A1981" t="n">
        <v>1973</v>
      </c>
      <c r="B1981" t="n">
        <v>0</v>
      </c>
      <c r="C1981" t="n">
        <v>0</v>
      </c>
      <c r="D1981" t="n">
        <v>2179.670986889335</v>
      </c>
      <c r="E1981">
        <f>C1981&lt;0.05</f>
        <v/>
      </c>
      <c r="F1981">
        <f>A1981=$B$5</f>
        <v/>
      </c>
      <c r="G1981">
        <f>IF(E1981,A1981,10^9)</f>
        <v/>
      </c>
      <c r="H1981">
        <f>IF(E1981,D1981,10^9)</f>
        <v/>
      </c>
    </row>
    <row r="1982">
      <c r="A1982" t="n">
        <v>1974</v>
      </c>
      <c r="B1982" t="n">
        <v>0</v>
      </c>
      <c r="C1982" t="n">
        <v>0</v>
      </c>
      <c r="D1982" t="n">
        <v>2180.670986889335</v>
      </c>
      <c r="E1982">
        <f>C1982&lt;0.05</f>
        <v/>
      </c>
      <c r="F1982">
        <f>A1982=$B$5</f>
        <v/>
      </c>
      <c r="G1982">
        <f>IF(E1982,A1982,10^9)</f>
        <v/>
      </c>
      <c r="H1982">
        <f>IF(E1982,D1982,10^9)</f>
        <v/>
      </c>
    </row>
    <row r="1983">
      <c r="A1983" t="n">
        <v>1975</v>
      </c>
      <c r="B1983" t="n">
        <v>0</v>
      </c>
      <c r="C1983" t="n">
        <v>0</v>
      </c>
      <c r="D1983" t="n">
        <v>2181.670986889335</v>
      </c>
      <c r="E1983">
        <f>C1983&lt;0.05</f>
        <v/>
      </c>
      <c r="F1983">
        <f>A1983=$B$5</f>
        <v/>
      </c>
      <c r="G1983">
        <f>IF(E1983,A1983,10^9)</f>
        <v/>
      </c>
      <c r="H1983">
        <f>IF(E1983,D1983,10^9)</f>
        <v/>
      </c>
    </row>
    <row r="1984">
      <c r="A1984" t="n">
        <v>1976</v>
      </c>
      <c r="B1984" t="n">
        <v>0</v>
      </c>
      <c r="C1984" t="n">
        <v>0</v>
      </c>
      <c r="D1984" t="n">
        <v>2182.670986889335</v>
      </c>
      <c r="E1984">
        <f>C1984&lt;0.05</f>
        <v/>
      </c>
      <c r="F1984">
        <f>A1984=$B$5</f>
        <v/>
      </c>
      <c r="G1984">
        <f>IF(E1984,A1984,10^9)</f>
        <v/>
      </c>
      <c r="H1984">
        <f>IF(E1984,D1984,10^9)</f>
        <v/>
      </c>
    </row>
    <row r="1985">
      <c r="A1985" t="n">
        <v>1977</v>
      </c>
      <c r="B1985" t="n">
        <v>0</v>
      </c>
      <c r="C1985" t="n">
        <v>0</v>
      </c>
      <c r="D1985" t="n">
        <v>2183.670986889335</v>
      </c>
      <c r="E1985">
        <f>C1985&lt;0.05</f>
        <v/>
      </c>
      <c r="F1985">
        <f>A1985=$B$5</f>
        <v/>
      </c>
      <c r="G1985">
        <f>IF(E1985,A1985,10^9)</f>
        <v/>
      </c>
      <c r="H1985">
        <f>IF(E1985,D1985,10^9)</f>
        <v/>
      </c>
    </row>
    <row r="1986">
      <c r="A1986" t="n">
        <v>1978</v>
      </c>
      <c r="B1986" t="n">
        <v>0</v>
      </c>
      <c r="C1986" t="n">
        <v>0</v>
      </c>
      <c r="D1986" t="n">
        <v>2184.670986889335</v>
      </c>
      <c r="E1986">
        <f>C1986&lt;0.05</f>
        <v/>
      </c>
      <c r="F1986">
        <f>A1986=$B$5</f>
        <v/>
      </c>
      <c r="G1986">
        <f>IF(E1986,A1986,10^9)</f>
        <v/>
      </c>
      <c r="H1986">
        <f>IF(E1986,D1986,10^9)</f>
        <v/>
      </c>
    </row>
    <row r="1987">
      <c r="A1987" t="n">
        <v>1979</v>
      </c>
      <c r="B1987" t="n">
        <v>0</v>
      </c>
      <c r="C1987" t="n">
        <v>0</v>
      </c>
      <c r="D1987" t="n">
        <v>2185.670986889335</v>
      </c>
      <c r="E1987">
        <f>C1987&lt;0.05</f>
        <v/>
      </c>
      <c r="F1987">
        <f>A1987=$B$5</f>
        <v/>
      </c>
      <c r="G1987">
        <f>IF(E1987,A1987,10^9)</f>
        <v/>
      </c>
      <c r="H1987">
        <f>IF(E1987,D1987,10^9)</f>
        <v/>
      </c>
    </row>
    <row r="1988">
      <c r="A1988" t="n">
        <v>1980</v>
      </c>
      <c r="B1988" t="n">
        <v>0</v>
      </c>
      <c r="C1988" t="n">
        <v>0</v>
      </c>
      <c r="D1988" t="n">
        <v>2186.670986889335</v>
      </c>
      <c r="E1988">
        <f>C1988&lt;0.05</f>
        <v/>
      </c>
      <c r="F1988">
        <f>A1988=$B$5</f>
        <v/>
      </c>
      <c r="G1988">
        <f>IF(E1988,A1988,10^9)</f>
        <v/>
      </c>
      <c r="H1988">
        <f>IF(E1988,D1988,10^9)</f>
        <v/>
      </c>
    </row>
    <row r="1989">
      <c r="A1989" t="n">
        <v>1981</v>
      </c>
      <c r="B1989" t="n">
        <v>0</v>
      </c>
      <c r="C1989" t="n">
        <v>0</v>
      </c>
      <c r="D1989" t="n">
        <v>2187.670986889335</v>
      </c>
      <c r="E1989">
        <f>C1989&lt;0.05</f>
        <v/>
      </c>
      <c r="F1989">
        <f>A1989=$B$5</f>
        <v/>
      </c>
      <c r="G1989">
        <f>IF(E1989,A1989,10^9)</f>
        <v/>
      </c>
      <c r="H1989">
        <f>IF(E1989,D1989,10^9)</f>
        <v/>
      </c>
    </row>
    <row r="1990">
      <c r="A1990" t="n">
        <v>1982</v>
      </c>
      <c r="B1990" t="n">
        <v>0</v>
      </c>
      <c r="C1990" t="n">
        <v>0</v>
      </c>
      <c r="D1990" t="n">
        <v>2188.670986889335</v>
      </c>
      <c r="E1990">
        <f>C1990&lt;0.05</f>
        <v/>
      </c>
      <c r="F1990">
        <f>A1990=$B$5</f>
        <v/>
      </c>
      <c r="G1990">
        <f>IF(E1990,A1990,10^9)</f>
        <v/>
      </c>
      <c r="H1990">
        <f>IF(E1990,D1990,10^9)</f>
        <v/>
      </c>
    </row>
    <row r="1991">
      <c r="A1991" t="n">
        <v>1983</v>
      </c>
      <c r="B1991" t="n">
        <v>0</v>
      </c>
      <c r="C1991" t="n">
        <v>0</v>
      </c>
      <c r="D1991" t="n">
        <v>2189.670986889335</v>
      </c>
      <c r="E1991">
        <f>C1991&lt;0.05</f>
        <v/>
      </c>
      <c r="F1991">
        <f>A1991=$B$5</f>
        <v/>
      </c>
      <c r="G1991">
        <f>IF(E1991,A1991,10^9)</f>
        <v/>
      </c>
      <c r="H1991">
        <f>IF(E1991,D1991,10^9)</f>
        <v/>
      </c>
    </row>
    <row r="1992">
      <c r="A1992" t="n">
        <v>1984</v>
      </c>
      <c r="B1992" t="n">
        <v>0</v>
      </c>
      <c r="C1992" t="n">
        <v>0</v>
      </c>
      <c r="D1992" t="n">
        <v>2190.670986889335</v>
      </c>
      <c r="E1992">
        <f>C1992&lt;0.05</f>
        <v/>
      </c>
      <c r="F1992">
        <f>A1992=$B$5</f>
        <v/>
      </c>
      <c r="G1992">
        <f>IF(E1992,A1992,10^9)</f>
        <v/>
      </c>
      <c r="H1992">
        <f>IF(E1992,D1992,10^9)</f>
        <v/>
      </c>
    </row>
    <row r="1993">
      <c r="A1993" t="n">
        <v>1985</v>
      </c>
      <c r="B1993" t="n">
        <v>0</v>
      </c>
      <c r="C1993" t="n">
        <v>0</v>
      </c>
      <c r="D1993" t="n">
        <v>2191.670986889335</v>
      </c>
      <c r="E1993">
        <f>C1993&lt;0.05</f>
        <v/>
      </c>
      <c r="F1993">
        <f>A1993=$B$5</f>
        <v/>
      </c>
      <c r="G1993">
        <f>IF(E1993,A1993,10^9)</f>
        <v/>
      </c>
      <c r="H1993">
        <f>IF(E1993,D1993,10^9)</f>
        <v/>
      </c>
    </row>
    <row r="1994">
      <c r="A1994" t="n">
        <v>1986</v>
      </c>
      <c r="B1994" t="n">
        <v>0</v>
      </c>
      <c r="C1994" t="n">
        <v>0</v>
      </c>
      <c r="D1994" t="n">
        <v>2192.670986889335</v>
      </c>
      <c r="E1994">
        <f>C1994&lt;0.05</f>
        <v/>
      </c>
      <c r="F1994">
        <f>A1994=$B$5</f>
        <v/>
      </c>
      <c r="G1994">
        <f>IF(E1994,A1994,10^9)</f>
        <v/>
      </c>
      <c r="H1994">
        <f>IF(E1994,D1994,10^9)</f>
        <v/>
      </c>
    </row>
    <row r="1995">
      <c r="A1995" t="n">
        <v>1987</v>
      </c>
      <c r="B1995" t="n">
        <v>0</v>
      </c>
      <c r="C1995" t="n">
        <v>0</v>
      </c>
      <c r="D1995" t="n">
        <v>2193.670986889335</v>
      </c>
      <c r="E1995">
        <f>C1995&lt;0.05</f>
        <v/>
      </c>
      <c r="F1995">
        <f>A1995=$B$5</f>
        <v/>
      </c>
      <c r="G1995">
        <f>IF(E1995,A1995,10^9)</f>
        <v/>
      </c>
      <c r="H1995">
        <f>IF(E1995,D1995,10^9)</f>
        <v/>
      </c>
    </row>
    <row r="1996">
      <c r="A1996" t="n">
        <v>1988</v>
      </c>
      <c r="B1996" t="n">
        <v>0</v>
      </c>
      <c r="C1996" t="n">
        <v>0</v>
      </c>
      <c r="D1996" t="n">
        <v>2194.670986889335</v>
      </c>
      <c r="E1996">
        <f>C1996&lt;0.05</f>
        <v/>
      </c>
      <c r="F1996">
        <f>A1996=$B$5</f>
        <v/>
      </c>
      <c r="G1996">
        <f>IF(E1996,A1996,10^9)</f>
        <v/>
      </c>
      <c r="H1996">
        <f>IF(E1996,D1996,10^9)</f>
        <v/>
      </c>
    </row>
    <row r="1997">
      <c r="A1997" t="n">
        <v>1989</v>
      </c>
      <c r="B1997" t="n">
        <v>0</v>
      </c>
      <c r="C1997" t="n">
        <v>0</v>
      </c>
      <c r="D1997" t="n">
        <v>2195.670986889335</v>
      </c>
      <c r="E1997">
        <f>C1997&lt;0.05</f>
        <v/>
      </c>
      <c r="F1997">
        <f>A1997=$B$5</f>
        <v/>
      </c>
      <c r="G1997">
        <f>IF(E1997,A1997,10^9)</f>
        <v/>
      </c>
      <c r="H1997">
        <f>IF(E1997,D1997,10^9)</f>
        <v/>
      </c>
    </row>
    <row r="1998">
      <c r="A1998" t="n">
        <v>1990</v>
      </c>
      <c r="B1998" t="n">
        <v>0</v>
      </c>
      <c r="C1998" t="n">
        <v>0</v>
      </c>
      <c r="D1998" t="n">
        <v>2196.670986889335</v>
      </c>
      <c r="E1998">
        <f>C1998&lt;0.05</f>
        <v/>
      </c>
      <c r="F1998">
        <f>A1998=$B$5</f>
        <v/>
      </c>
      <c r="G1998">
        <f>IF(E1998,A1998,10^9)</f>
        <v/>
      </c>
      <c r="H1998">
        <f>IF(E1998,D1998,10^9)</f>
        <v/>
      </c>
    </row>
    <row r="1999">
      <c r="A1999" t="n">
        <v>1991</v>
      </c>
      <c r="B1999" t="n">
        <v>0</v>
      </c>
      <c r="C1999" t="n">
        <v>0</v>
      </c>
      <c r="D1999" t="n">
        <v>2197.670986889335</v>
      </c>
      <c r="E1999">
        <f>C1999&lt;0.05</f>
        <v/>
      </c>
      <c r="F1999">
        <f>A1999=$B$5</f>
        <v/>
      </c>
      <c r="G1999">
        <f>IF(E1999,A1999,10^9)</f>
        <v/>
      </c>
      <c r="H1999">
        <f>IF(E1999,D1999,10^9)</f>
        <v/>
      </c>
    </row>
    <row r="2000">
      <c r="A2000" t="n">
        <v>1992</v>
      </c>
      <c r="B2000" t="n">
        <v>0</v>
      </c>
      <c r="C2000" t="n">
        <v>0</v>
      </c>
      <c r="D2000" t="n">
        <v>2198.670986889335</v>
      </c>
      <c r="E2000">
        <f>C2000&lt;0.05</f>
        <v/>
      </c>
      <c r="F2000">
        <f>A2000=$B$5</f>
        <v/>
      </c>
      <c r="G2000">
        <f>IF(E2000,A2000,10^9)</f>
        <v/>
      </c>
      <c r="H2000">
        <f>IF(E2000,D2000,10^9)</f>
        <v/>
      </c>
    </row>
    <row r="2001">
      <c r="A2001" t="n">
        <v>1993</v>
      </c>
      <c r="B2001" t="n">
        <v>0</v>
      </c>
      <c r="C2001" t="n">
        <v>0</v>
      </c>
      <c r="D2001" t="n">
        <v>2199.670986889335</v>
      </c>
      <c r="E2001">
        <f>C2001&lt;0.05</f>
        <v/>
      </c>
      <c r="F2001">
        <f>A2001=$B$5</f>
        <v/>
      </c>
      <c r="G2001">
        <f>IF(E2001,A2001,10^9)</f>
        <v/>
      </c>
      <c r="H2001">
        <f>IF(E2001,D2001,10^9)</f>
        <v/>
      </c>
    </row>
    <row r="2002">
      <c r="A2002" t="n">
        <v>1994</v>
      </c>
      <c r="B2002" t="n">
        <v>0</v>
      </c>
      <c r="C2002" t="n">
        <v>0</v>
      </c>
      <c r="D2002" t="n">
        <v>2200.670986889335</v>
      </c>
      <c r="E2002">
        <f>C2002&lt;0.05</f>
        <v/>
      </c>
      <c r="F2002">
        <f>A2002=$B$5</f>
        <v/>
      </c>
      <c r="G2002">
        <f>IF(E2002,A2002,10^9)</f>
        <v/>
      </c>
      <c r="H2002">
        <f>IF(E2002,D2002,10^9)</f>
        <v/>
      </c>
    </row>
    <row r="2003">
      <c r="A2003" t="n">
        <v>1995</v>
      </c>
      <c r="B2003" t="n">
        <v>0</v>
      </c>
      <c r="C2003" t="n">
        <v>0</v>
      </c>
      <c r="D2003" t="n">
        <v>2201.670986889335</v>
      </c>
      <c r="E2003">
        <f>C2003&lt;0.05</f>
        <v/>
      </c>
      <c r="F2003">
        <f>A2003=$B$5</f>
        <v/>
      </c>
      <c r="G2003">
        <f>IF(E2003,A2003,10^9)</f>
        <v/>
      </c>
      <c r="H2003">
        <f>IF(E2003,D2003,10^9)</f>
        <v/>
      </c>
    </row>
    <row r="2004">
      <c r="A2004" t="n">
        <v>1996</v>
      </c>
      <c r="B2004" t="n">
        <v>0</v>
      </c>
      <c r="C2004" t="n">
        <v>0</v>
      </c>
      <c r="D2004" t="n">
        <v>2202.670986889335</v>
      </c>
      <c r="E2004">
        <f>C2004&lt;0.05</f>
        <v/>
      </c>
      <c r="F2004">
        <f>A2004=$B$5</f>
        <v/>
      </c>
      <c r="G2004">
        <f>IF(E2004,A2004,10^9)</f>
        <v/>
      </c>
      <c r="H2004">
        <f>IF(E2004,D2004,10^9)</f>
        <v/>
      </c>
    </row>
    <row r="2005">
      <c r="A2005" t="n">
        <v>1997</v>
      </c>
      <c r="B2005" t="n">
        <v>0</v>
      </c>
      <c r="C2005" t="n">
        <v>0</v>
      </c>
      <c r="D2005" t="n">
        <v>2203.670986889335</v>
      </c>
      <c r="E2005">
        <f>C2005&lt;0.05</f>
        <v/>
      </c>
      <c r="F2005">
        <f>A2005=$B$5</f>
        <v/>
      </c>
      <c r="G2005">
        <f>IF(E2005,A2005,10^9)</f>
        <v/>
      </c>
      <c r="H2005">
        <f>IF(E2005,D2005,10^9)</f>
        <v/>
      </c>
    </row>
    <row r="2006">
      <c r="A2006" t="n">
        <v>1998</v>
      </c>
      <c r="B2006" t="n">
        <v>0</v>
      </c>
      <c r="C2006" t="n">
        <v>0</v>
      </c>
      <c r="D2006" t="n">
        <v>2204.670986889335</v>
      </c>
      <c r="E2006">
        <f>C2006&lt;0.05</f>
        <v/>
      </c>
      <c r="F2006">
        <f>A2006=$B$5</f>
        <v/>
      </c>
      <c r="G2006">
        <f>IF(E2006,A2006,10^9)</f>
        <v/>
      </c>
      <c r="H2006">
        <f>IF(E2006,D2006,10^9)</f>
        <v/>
      </c>
    </row>
    <row r="2007">
      <c r="A2007" t="n">
        <v>1999</v>
      </c>
      <c r="B2007" t="n">
        <v>0</v>
      </c>
      <c r="C2007" t="n">
        <v>0</v>
      </c>
      <c r="D2007" t="n">
        <v>2205.670986889335</v>
      </c>
      <c r="E2007">
        <f>C2007&lt;0.05</f>
        <v/>
      </c>
      <c r="F2007">
        <f>A2007=$B$5</f>
        <v/>
      </c>
      <c r="G2007">
        <f>IF(E2007,A2007,10^9)</f>
        <v/>
      </c>
      <c r="H2007">
        <f>IF(E2007,D2007,10^9)</f>
        <v/>
      </c>
    </row>
    <row r="2008">
      <c r="A2008" t="n">
        <v>2000</v>
      </c>
      <c r="B2008" t="n">
        <v>0</v>
      </c>
      <c r="C2008" t="n">
        <v>0</v>
      </c>
      <c r="D2008" t="n">
        <v>2206.670986889335</v>
      </c>
      <c r="E2008">
        <f>C2008&lt;0.05</f>
        <v/>
      </c>
      <c r="F2008">
        <f>A2008=$B$5</f>
        <v/>
      </c>
      <c r="G2008">
        <f>IF(E2008,A2008,10^9)</f>
        <v/>
      </c>
      <c r="H2008">
        <f>IF(E2008,D2008,10^9)</f>
        <v/>
      </c>
    </row>
    <row r="2009">
      <c r="A2009" t="n">
        <v>2001</v>
      </c>
      <c r="B2009" t="n">
        <v>0</v>
      </c>
      <c r="C2009" t="n">
        <v>0</v>
      </c>
      <c r="D2009" t="n">
        <v>2207.670986889335</v>
      </c>
      <c r="E2009">
        <f>C2009&lt;0.05</f>
        <v/>
      </c>
      <c r="F2009">
        <f>A2009=$B$5</f>
        <v/>
      </c>
      <c r="G2009">
        <f>IF(E2009,A2009,10^9)</f>
        <v/>
      </c>
      <c r="H2009">
        <f>IF(E2009,D2009,10^9)</f>
        <v/>
      </c>
    </row>
    <row r="2010">
      <c r="A2010" t="n">
        <v>2002</v>
      </c>
      <c r="B2010" t="n">
        <v>0</v>
      </c>
      <c r="C2010" t="n">
        <v>0</v>
      </c>
      <c r="D2010" t="n">
        <v>2208.670986889335</v>
      </c>
      <c r="E2010">
        <f>C2010&lt;0.05</f>
        <v/>
      </c>
      <c r="F2010">
        <f>A2010=$B$5</f>
        <v/>
      </c>
      <c r="G2010">
        <f>IF(E2010,A2010,10^9)</f>
        <v/>
      </c>
      <c r="H2010">
        <f>IF(E2010,D2010,10^9)</f>
        <v/>
      </c>
    </row>
    <row r="2011">
      <c r="A2011" t="n">
        <v>2003</v>
      </c>
      <c r="B2011" t="n">
        <v>0</v>
      </c>
      <c r="C2011" t="n">
        <v>0</v>
      </c>
      <c r="D2011" t="n">
        <v>2209.670986889335</v>
      </c>
      <c r="E2011">
        <f>C2011&lt;0.05</f>
        <v/>
      </c>
      <c r="F2011">
        <f>A2011=$B$5</f>
        <v/>
      </c>
      <c r="G2011">
        <f>IF(E2011,A2011,10^9)</f>
        <v/>
      </c>
      <c r="H2011">
        <f>IF(E2011,D2011,10^9)</f>
        <v/>
      </c>
    </row>
    <row r="2012">
      <c r="A2012" t="n">
        <v>2004</v>
      </c>
      <c r="B2012" t="n">
        <v>0</v>
      </c>
      <c r="C2012" t="n">
        <v>0</v>
      </c>
      <c r="D2012" t="n">
        <v>2210.670986889335</v>
      </c>
      <c r="E2012">
        <f>C2012&lt;0.05</f>
        <v/>
      </c>
      <c r="F2012">
        <f>A2012=$B$5</f>
        <v/>
      </c>
      <c r="G2012">
        <f>IF(E2012,A2012,10^9)</f>
        <v/>
      </c>
      <c r="H2012">
        <f>IF(E2012,D2012,10^9)</f>
        <v/>
      </c>
    </row>
    <row r="2013">
      <c r="A2013" t="n">
        <v>2005</v>
      </c>
      <c r="B2013" t="n">
        <v>0</v>
      </c>
      <c r="C2013" t="n">
        <v>0</v>
      </c>
      <c r="D2013" t="n">
        <v>2211.670986889335</v>
      </c>
      <c r="E2013">
        <f>C2013&lt;0.05</f>
        <v/>
      </c>
      <c r="F2013">
        <f>A2013=$B$5</f>
        <v/>
      </c>
      <c r="G2013">
        <f>IF(E2013,A2013,10^9)</f>
        <v/>
      </c>
      <c r="H2013">
        <f>IF(E2013,D2013,10^9)</f>
        <v/>
      </c>
    </row>
    <row r="2014">
      <c r="A2014" t="n">
        <v>2006</v>
      </c>
      <c r="B2014" t="n">
        <v>0</v>
      </c>
      <c r="C2014" t="n">
        <v>0</v>
      </c>
      <c r="D2014" t="n">
        <v>2212.670986889335</v>
      </c>
      <c r="E2014">
        <f>C2014&lt;0.05</f>
        <v/>
      </c>
      <c r="F2014">
        <f>A2014=$B$5</f>
        <v/>
      </c>
      <c r="G2014">
        <f>IF(E2014,A2014,10^9)</f>
        <v/>
      </c>
      <c r="H2014">
        <f>IF(E2014,D2014,10^9)</f>
        <v/>
      </c>
    </row>
    <row r="2015">
      <c r="A2015" t="n">
        <v>2007</v>
      </c>
      <c r="B2015" t="n">
        <v>0</v>
      </c>
      <c r="C2015" t="n">
        <v>0</v>
      </c>
      <c r="D2015" t="n">
        <v>2213.670986889335</v>
      </c>
      <c r="E2015">
        <f>C2015&lt;0.05</f>
        <v/>
      </c>
      <c r="F2015">
        <f>A2015=$B$5</f>
        <v/>
      </c>
      <c r="G2015">
        <f>IF(E2015,A2015,10^9)</f>
        <v/>
      </c>
      <c r="H2015">
        <f>IF(E2015,D2015,10^9)</f>
        <v/>
      </c>
    </row>
    <row r="2016">
      <c r="A2016" t="n">
        <v>2008</v>
      </c>
      <c r="B2016" t="n">
        <v>0</v>
      </c>
      <c r="C2016" t="n">
        <v>0</v>
      </c>
      <c r="D2016" t="n">
        <v>2214.670986889335</v>
      </c>
      <c r="E2016">
        <f>C2016&lt;0.05</f>
        <v/>
      </c>
      <c r="F2016">
        <f>A2016=$B$5</f>
        <v/>
      </c>
      <c r="G2016">
        <f>IF(E2016,A2016,10^9)</f>
        <v/>
      </c>
      <c r="H2016">
        <f>IF(E2016,D2016,10^9)</f>
        <v/>
      </c>
    </row>
    <row r="2017">
      <c r="A2017" t="n">
        <v>2009</v>
      </c>
      <c r="B2017" t="n">
        <v>0</v>
      </c>
      <c r="C2017" t="n">
        <v>0</v>
      </c>
      <c r="D2017" t="n">
        <v>2215.670986889335</v>
      </c>
      <c r="E2017">
        <f>C2017&lt;0.05</f>
        <v/>
      </c>
      <c r="F2017">
        <f>A2017=$B$5</f>
        <v/>
      </c>
      <c r="G2017">
        <f>IF(E2017,A2017,10^9)</f>
        <v/>
      </c>
      <c r="H2017">
        <f>IF(E2017,D2017,10^9)</f>
        <v/>
      </c>
    </row>
    <row r="2018">
      <c r="A2018" t="n">
        <v>2010</v>
      </c>
      <c r="B2018" t="n">
        <v>0</v>
      </c>
      <c r="C2018" t="n">
        <v>0</v>
      </c>
      <c r="D2018" t="n">
        <v>2216.670986889335</v>
      </c>
      <c r="E2018">
        <f>C2018&lt;0.05</f>
        <v/>
      </c>
      <c r="F2018">
        <f>A2018=$B$5</f>
        <v/>
      </c>
      <c r="G2018">
        <f>IF(E2018,A2018,10^9)</f>
        <v/>
      </c>
      <c r="H2018">
        <f>IF(E2018,D2018,10^9)</f>
        <v/>
      </c>
    </row>
    <row r="2019">
      <c r="A2019" t="n">
        <v>2011</v>
      </c>
      <c r="B2019" t="n">
        <v>0</v>
      </c>
      <c r="C2019" t="n">
        <v>0</v>
      </c>
      <c r="D2019" t="n">
        <v>2217.670986889335</v>
      </c>
      <c r="E2019">
        <f>C2019&lt;0.05</f>
        <v/>
      </c>
      <c r="F2019">
        <f>A2019=$B$5</f>
        <v/>
      </c>
      <c r="G2019">
        <f>IF(E2019,A2019,10^9)</f>
        <v/>
      </c>
      <c r="H2019">
        <f>IF(E2019,D2019,10^9)</f>
        <v/>
      </c>
    </row>
    <row r="2020">
      <c r="A2020" t="n">
        <v>2012</v>
      </c>
      <c r="B2020" t="n">
        <v>0</v>
      </c>
      <c r="C2020" t="n">
        <v>0</v>
      </c>
      <c r="D2020" t="n">
        <v>2218.670986889335</v>
      </c>
      <c r="E2020">
        <f>C2020&lt;0.05</f>
        <v/>
      </c>
      <c r="F2020">
        <f>A2020=$B$5</f>
        <v/>
      </c>
      <c r="G2020">
        <f>IF(E2020,A2020,10^9)</f>
        <v/>
      </c>
      <c r="H2020">
        <f>IF(E2020,D2020,10^9)</f>
        <v/>
      </c>
    </row>
    <row r="2021">
      <c r="A2021" t="n">
        <v>2013</v>
      </c>
      <c r="B2021" t="n">
        <v>0</v>
      </c>
      <c r="C2021" t="n">
        <v>0</v>
      </c>
      <c r="D2021" t="n">
        <v>2219.670986889335</v>
      </c>
      <c r="E2021">
        <f>C2021&lt;0.05</f>
        <v/>
      </c>
      <c r="F2021">
        <f>A2021=$B$5</f>
        <v/>
      </c>
      <c r="G2021">
        <f>IF(E2021,A2021,10^9)</f>
        <v/>
      </c>
      <c r="H2021">
        <f>IF(E2021,D2021,10^9)</f>
        <v/>
      </c>
    </row>
    <row r="2022">
      <c r="A2022" t="n">
        <v>2014</v>
      </c>
      <c r="B2022" t="n">
        <v>0</v>
      </c>
      <c r="C2022" t="n">
        <v>0</v>
      </c>
      <c r="D2022" t="n">
        <v>2220.670986889335</v>
      </c>
      <c r="E2022">
        <f>C2022&lt;0.05</f>
        <v/>
      </c>
      <c r="F2022">
        <f>A2022=$B$5</f>
        <v/>
      </c>
      <c r="G2022">
        <f>IF(E2022,A2022,10^9)</f>
        <v/>
      </c>
      <c r="H2022">
        <f>IF(E2022,D2022,10^9)</f>
        <v/>
      </c>
    </row>
    <row r="2023">
      <c r="A2023" t="n">
        <v>2015</v>
      </c>
      <c r="B2023" t="n">
        <v>0</v>
      </c>
      <c r="C2023" t="n">
        <v>0</v>
      </c>
      <c r="D2023" t="n">
        <v>2221.670986889335</v>
      </c>
      <c r="E2023">
        <f>C2023&lt;0.05</f>
        <v/>
      </c>
      <c r="F2023">
        <f>A2023=$B$5</f>
        <v/>
      </c>
      <c r="G2023">
        <f>IF(E2023,A2023,10^9)</f>
        <v/>
      </c>
      <c r="H2023">
        <f>IF(E2023,D2023,10^9)</f>
        <v/>
      </c>
    </row>
    <row r="2024">
      <c r="A2024" t="n">
        <v>2016</v>
      </c>
      <c r="B2024" t="n">
        <v>0</v>
      </c>
      <c r="C2024" t="n">
        <v>0</v>
      </c>
      <c r="D2024" t="n">
        <v>2222.670986889335</v>
      </c>
      <c r="E2024">
        <f>C2024&lt;0.05</f>
        <v/>
      </c>
      <c r="F2024">
        <f>A2024=$B$5</f>
        <v/>
      </c>
      <c r="G2024">
        <f>IF(E2024,A2024,10^9)</f>
        <v/>
      </c>
      <c r="H2024">
        <f>IF(E2024,D2024,10^9)</f>
        <v/>
      </c>
    </row>
    <row r="2025">
      <c r="A2025" t="n">
        <v>2017</v>
      </c>
      <c r="B2025" t="n">
        <v>0</v>
      </c>
      <c r="C2025" t="n">
        <v>0</v>
      </c>
      <c r="D2025" t="n">
        <v>2223.670986889335</v>
      </c>
      <c r="E2025">
        <f>C2025&lt;0.05</f>
        <v/>
      </c>
      <c r="F2025">
        <f>A2025=$B$5</f>
        <v/>
      </c>
      <c r="G2025">
        <f>IF(E2025,A2025,10^9)</f>
        <v/>
      </c>
      <c r="H2025">
        <f>IF(E2025,D2025,10^9)</f>
        <v/>
      </c>
    </row>
    <row r="2026">
      <c r="A2026" t="n">
        <v>2018</v>
      </c>
      <c r="B2026" t="n">
        <v>0</v>
      </c>
      <c r="C2026" t="n">
        <v>0</v>
      </c>
      <c r="D2026" t="n">
        <v>2224.670986889335</v>
      </c>
      <c r="E2026">
        <f>C2026&lt;0.05</f>
        <v/>
      </c>
      <c r="F2026">
        <f>A2026=$B$5</f>
        <v/>
      </c>
      <c r="G2026">
        <f>IF(E2026,A2026,10^9)</f>
        <v/>
      </c>
      <c r="H2026">
        <f>IF(E2026,D2026,10^9)</f>
        <v/>
      </c>
    </row>
    <row r="2027">
      <c r="A2027" t="n">
        <v>2019</v>
      </c>
      <c r="B2027" t="n">
        <v>0</v>
      </c>
      <c r="C2027" t="n">
        <v>0</v>
      </c>
      <c r="D2027" t="n">
        <v>2225.670986889335</v>
      </c>
      <c r="E2027">
        <f>C2027&lt;0.05</f>
        <v/>
      </c>
      <c r="F2027">
        <f>A2027=$B$5</f>
        <v/>
      </c>
      <c r="G2027">
        <f>IF(E2027,A2027,10^9)</f>
        <v/>
      </c>
      <c r="H2027">
        <f>IF(E2027,D2027,10^9)</f>
        <v/>
      </c>
    </row>
    <row r="2028">
      <c r="A2028" t="n">
        <v>2020</v>
      </c>
      <c r="B2028" t="n">
        <v>0</v>
      </c>
      <c r="C2028" t="n">
        <v>0</v>
      </c>
      <c r="D2028" t="n">
        <v>2226.670986889335</v>
      </c>
      <c r="E2028">
        <f>C2028&lt;0.05</f>
        <v/>
      </c>
      <c r="F2028">
        <f>A2028=$B$5</f>
        <v/>
      </c>
      <c r="G2028">
        <f>IF(E2028,A2028,10^9)</f>
        <v/>
      </c>
      <c r="H2028">
        <f>IF(E2028,D2028,10^9)</f>
        <v/>
      </c>
    </row>
    <row r="2029">
      <c r="A2029" t="n">
        <v>2021</v>
      </c>
      <c r="B2029" t="n">
        <v>0</v>
      </c>
      <c r="C2029" t="n">
        <v>0</v>
      </c>
      <c r="D2029" t="n">
        <v>2227.670986889335</v>
      </c>
      <c r="E2029">
        <f>C2029&lt;0.05</f>
        <v/>
      </c>
      <c r="F2029">
        <f>A2029=$B$5</f>
        <v/>
      </c>
      <c r="G2029">
        <f>IF(E2029,A2029,10^9)</f>
        <v/>
      </c>
      <c r="H2029">
        <f>IF(E2029,D2029,10^9)</f>
        <v/>
      </c>
    </row>
    <row r="2030">
      <c r="A2030" t="n">
        <v>2022</v>
      </c>
      <c r="B2030" t="n">
        <v>0</v>
      </c>
      <c r="C2030" t="n">
        <v>0</v>
      </c>
      <c r="D2030" t="n">
        <v>2228.670986889335</v>
      </c>
      <c r="E2030">
        <f>C2030&lt;0.05</f>
        <v/>
      </c>
      <c r="F2030">
        <f>A2030=$B$5</f>
        <v/>
      </c>
      <c r="G2030">
        <f>IF(E2030,A2030,10^9)</f>
        <v/>
      </c>
      <c r="H2030">
        <f>IF(E2030,D2030,10^9)</f>
        <v/>
      </c>
    </row>
    <row r="2031">
      <c r="A2031" t="n">
        <v>2023</v>
      </c>
      <c r="B2031" t="n">
        <v>0</v>
      </c>
      <c r="C2031" t="n">
        <v>0</v>
      </c>
      <c r="D2031" t="n">
        <v>2229.670986889335</v>
      </c>
      <c r="E2031">
        <f>C2031&lt;0.05</f>
        <v/>
      </c>
      <c r="F2031">
        <f>A2031=$B$5</f>
        <v/>
      </c>
      <c r="G2031">
        <f>IF(E2031,A2031,10^9)</f>
        <v/>
      </c>
      <c r="H2031">
        <f>IF(E2031,D2031,10^9)</f>
        <v/>
      </c>
    </row>
    <row r="2032">
      <c r="A2032" t="n">
        <v>2024</v>
      </c>
      <c r="B2032" t="n">
        <v>0</v>
      </c>
      <c r="C2032" t="n">
        <v>0</v>
      </c>
      <c r="D2032" t="n">
        <v>2230.670986889335</v>
      </c>
      <c r="E2032">
        <f>C2032&lt;0.05</f>
        <v/>
      </c>
      <c r="F2032">
        <f>A2032=$B$5</f>
        <v/>
      </c>
      <c r="G2032">
        <f>IF(E2032,A2032,10^9)</f>
        <v/>
      </c>
      <c r="H2032">
        <f>IF(E2032,D2032,10^9)</f>
        <v/>
      </c>
    </row>
    <row r="2033">
      <c r="A2033" t="n">
        <v>2025</v>
      </c>
      <c r="B2033" t="n">
        <v>0</v>
      </c>
      <c r="C2033" t="n">
        <v>0</v>
      </c>
      <c r="D2033" t="n">
        <v>2231.670986889335</v>
      </c>
      <c r="E2033">
        <f>C2033&lt;0.05</f>
        <v/>
      </c>
      <c r="F2033">
        <f>A2033=$B$5</f>
        <v/>
      </c>
      <c r="G2033">
        <f>IF(E2033,A2033,10^9)</f>
        <v/>
      </c>
      <c r="H2033">
        <f>IF(E2033,D2033,10^9)</f>
        <v/>
      </c>
    </row>
    <row r="2034">
      <c r="A2034" t="n">
        <v>2026</v>
      </c>
      <c r="B2034" t="n">
        <v>0</v>
      </c>
      <c r="C2034" t="n">
        <v>0</v>
      </c>
      <c r="D2034" t="n">
        <v>2232.670986889335</v>
      </c>
      <c r="E2034">
        <f>C2034&lt;0.05</f>
        <v/>
      </c>
      <c r="F2034">
        <f>A2034=$B$5</f>
        <v/>
      </c>
      <c r="G2034">
        <f>IF(E2034,A2034,10^9)</f>
        <v/>
      </c>
      <c r="H2034">
        <f>IF(E2034,D2034,10^9)</f>
        <v/>
      </c>
    </row>
    <row r="2035">
      <c r="A2035" t="n">
        <v>2027</v>
      </c>
      <c r="B2035" t="n">
        <v>0</v>
      </c>
      <c r="C2035" t="n">
        <v>0</v>
      </c>
      <c r="D2035" t="n">
        <v>2233.670986889335</v>
      </c>
      <c r="E2035">
        <f>C2035&lt;0.05</f>
        <v/>
      </c>
      <c r="F2035">
        <f>A2035=$B$5</f>
        <v/>
      </c>
      <c r="G2035">
        <f>IF(E2035,A2035,10^9)</f>
        <v/>
      </c>
      <c r="H2035">
        <f>IF(E2035,D2035,10^9)</f>
        <v/>
      </c>
    </row>
    <row r="2036">
      <c r="A2036" t="n">
        <v>2028</v>
      </c>
      <c r="B2036" t="n">
        <v>0</v>
      </c>
      <c r="C2036" t="n">
        <v>0</v>
      </c>
      <c r="D2036" t="n">
        <v>2234.670986889335</v>
      </c>
      <c r="E2036">
        <f>C2036&lt;0.05</f>
        <v/>
      </c>
      <c r="F2036">
        <f>A2036=$B$5</f>
        <v/>
      </c>
      <c r="G2036">
        <f>IF(E2036,A2036,10^9)</f>
        <v/>
      </c>
      <c r="H2036">
        <f>IF(E2036,D2036,10^9)</f>
        <v/>
      </c>
    </row>
    <row r="2037">
      <c r="A2037" t="n">
        <v>2029</v>
      </c>
      <c r="B2037" t="n">
        <v>0</v>
      </c>
      <c r="C2037" t="n">
        <v>0</v>
      </c>
      <c r="D2037" t="n">
        <v>2235.670986889335</v>
      </c>
      <c r="E2037">
        <f>C2037&lt;0.05</f>
        <v/>
      </c>
      <c r="F2037">
        <f>A2037=$B$5</f>
        <v/>
      </c>
      <c r="G2037">
        <f>IF(E2037,A2037,10^9)</f>
        <v/>
      </c>
      <c r="H2037">
        <f>IF(E2037,D2037,10^9)</f>
        <v/>
      </c>
    </row>
    <row r="2038">
      <c r="A2038" t="n">
        <v>2030</v>
      </c>
      <c r="B2038" t="n">
        <v>0</v>
      </c>
      <c r="C2038" t="n">
        <v>0</v>
      </c>
      <c r="D2038" t="n">
        <v>2236.670986889335</v>
      </c>
      <c r="E2038">
        <f>C2038&lt;0.05</f>
        <v/>
      </c>
      <c r="F2038">
        <f>A2038=$B$5</f>
        <v/>
      </c>
      <c r="G2038">
        <f>IF(E2038,A2038,10^9)</f>
        <v/>
      </c>
      <c r="H2038">
        <f>IF(E2038,D2038,10^9)</f>
        <v/>
      </c>
    </row>
    <row r="2039">
      <c r="A2039" t="n">
        <v>2031</v>
      </c>
      <c r="B2039" t="n">
        <v>0</v>
      </c>
      <c r="C2039" t="n">
        <v>0</v>
      </c>
      <c r="D2039" t="n">
        <v>2237.670986889335</v>
      </c>
      <c r="E2039">
        <f>C2039&lt;0.05</f>
        <v/>
      </c>
      <c r="F2039">
        <f>A2039=$B$5</f>
        <v/>
      </c>
      <c r="G2039">
        <f>IF(E2039,A2039,10^9)</f>
        <v/>
      </c>
      <c r="H2039">
        <f>IF(E2039,D2039,10^9)</f>
        <v/>
      </c>
    </row>
    <row r="2040">
      <c r="A2040" t="n">
        <v>2032</v>
      </c>
      <c r="B2040" t="n">
        <v>0</v>
      </c>
      <c r="C2040" t="n">
        <v>0</v>
      </c>
      <c r="D2040" t="n">
        <v>2238.670986889335</v>
      </c>
      <c r="E2040">
        <f>C2040&lt;0.05</f>
        <v/>
      </c>
      <c r="F2040">
        <f>A2040=$B$5</f>
        <v/>
      </c>
      <c r="G2040">
        <f>IF(E2040,A2040,10^9)</f>
        <v/>
      </c>
      <c r="H2040">
        <f>IF(E2040,D2040,10^9)</f>
        <v/>
      </c>
    </row>
    <row r="2041">
      <c r="A2041" t="n">
        <v>2033</v>
      </c>
      <c r="B2041" t="n">
        <v>0</v>
      </c>
      <c r="C2041" t="n">
        <v>0</v>
      </c>
      <c r="D2041" t="n">
        <v>2239.670986889335</v>
      </c>
      <c r="E2041">
        <f>C2041&lt;0.05</f>
        <v/>
      </c>
      <c r="F2041">
        <f>A2041=$B$5</f>
        <v/>
      </c>
      <c r="G2041">
        <f>IF(E2041,A2041,10^9)</f>
        <v/>
      </c>
      <c r="H2041">
        <f>IF(E2041,D2041,10^9)</f>
        <v/>
      </c>
    </row>
    <row r="2042">
      <c r="A2042" t="n">
        <v>2034</v>
      </c>
      <c r="B2042" t="n">
        <v>0</v>
      </c>
      <c r="C2042" t="n">
        <v>0</v>
      </c>
      <c r="D2042" t="n">
        <v>2240.670986889335</v>
      </c>
      <c r="E2042">
        <f>C2042&lt;0.05</f>
        <v/>
      </c>
      <c r="F2042">
        <f>A2042=$B$5</f>
        <v/>
      </c>
      <c r="G2042">
        <f>IF(E2042,A2042,10^9)</f>
        <v/>
      </c>
      <c r="H2042">
        <f>IF(E2042,D2042,10^9)</f>
        <v/>
      </c>
    </row>
    <row r="2043">
      <c r="A2043" t="n">
        <v>2035</v>
      </c>
      <c r="B2043" t="n">
        <v>0</v>
      </c>
      <c r="C2043" t="n">
        <v>0</v>
      </c>
      <c r="D2043" t="n">
        <v>2241.670986889335</v>
      </c>
      <c r="E2043">
        <f>C2043&lt;0.05</f>
        <v/>
      </c>
      <c r="F2043">
        <f>A2043=$B$5</f>
        <v/>
      </c>
      <c r="G2043">
        <f>IF(E2043,A2043,10^9)</f>
        <v/>
      </c>
      <c r="H2043">
        <f>IF(E2043,D2043,10^9)</f>
        <v/>
      </c>
    </row>
    <row r="2044">
      <c r="A2044" t="n">
        <v>2036</v>
      </c>
      <c r="B2044" t="n">
        <v>0</v>
      </c>
      <c r="C2044" t="n">
        <v>0</v>
      </c>
      <c r="D2044" t="n">
        <v>2242.670986889335</v>
      </c>
      <c r="E2044">
        <f>C2044&lt;0.05</f>
        <v/>
      </c>
      <c r="F2044">
        <f>A2044=$B$5</f>
        <v/>
      </c>
      <c r="G2044">
        <f>IF(E2044,A2044,10^9)</f>
        <v/>
      </c>
      <c r="H2044">
        <f>IF(E2044,D2044,10^9)</f>
        <v/>
      </c>
    </row>
    <row r="2045">
      <c r="A2045" t="n">
        <v>2037</v>
      </c>
      <c r="B2045" t="n">
        <v>0</v>
      </c>
      <c r="C2045" t="n">
        <v>0</v>
      </c>
      <c r="D2045" t="n">
        <v>2243.670986889335</v>
      </c>
      <c r="E2045">
        <f>C2045&lt;0.05</f>
        <v/>
      </c>
      <c r="F2045">
        <f>A2045=$B$5</f>
        <v/>
      </c>
      <c r="G2045">
        <f>IF(E2045,A2045,10^9)</f>
        <v/>
      </c>
      <c r="H2045">
        <f>IF(E2045,D2045,10^9)</f>
        <v/>
      </c>
    </row>
    <row r="2046">
      <c r="A2046" t="n">
        <v>2038</v>
      </c>
      <c r="B2046" t="n">
        <v>0</v>
      </c>
      <c r="C2046" t="n">
        <v>0</v>
      </c>
      <c r="D2046" t="n">
        <v>2244.670986889335</v>
      </c>
      <c r="E2046">
        <f>C2046&lt;0.05</f>
        <v/>
      </c>
      <c r="F2046">
        <f>A2046=$B$5</f>
        <v/>
      </c>
      <c r="G2046">
        <f>IF(E2046,A2046,10^9)</f>
        <v/>
      </c>
      <c r="H2046">
        <f>IF(E2046,D2046,10^9)</f>
        <v/>
      </c>
    </row>
    <row r="2047">
      <c r="A2047" t="n">
        <v>2039</v>
      </c>
      <c r="B2047" t="n">
        <v>0</v>
      </c>
      <c r="C2047" t="n">
        <v>0</v>
      </c>
      <c r="D2047" t="n">
        <v>2245.670986889335</v>
      </c>
      <c r="E2047">
        <f>C2047&lt;0.05</f>
        <v/>
      </c>
      <c r="F2047">
        <f>A2047=$B$5</f>
        <v/>
      </c>
      <c r="G2047">
        <f>IF(E2047,A2047,10^9)</f>
        <v/>
      </c>
      <c r="H2047">
        <f>IF(E2047,D2047,10^9)</f>
        <v/>
      </c>
    </row>
    <row r="2048">
      <c r="A2048" t="n">
        <v>2040</v>
      </c>
      <c r="B2048" t="n">
        <v>0</v>
      </c>
      <c r="C2048" t="n">
        <v>0</v>
      </c>
      <c r="D2048" t="n">
        <v>2246.670986889335</v>
      </c>
      <c r="E2048">
        <f>C2048&lt;0.05</f>
        <v/>
      </c>
      <c r="F2048">
        <f>A2048=$B$5</f>
        <v/>
      </c>
      <c r="G2048">
        <f>IF(E2048,A2048,10^9)</f>
        <v/>
      </c>
      <c r="H2048">
        <f>IF(E2048,D2048,10^9)</f>
        <v/>
      </c>
    </row>
    <row r="2049">
      <c r="A2049" t="n">
        <v>2041</v>
      </c>
      <c r="B2049" t="n">
        <v>0</v>
      </c>
      <c r="C2049" t="n">
        <v>0</v>
      </c>
      <c r="D2049" t="n">
        <v>2247.670986889335</v>
      </c>
      <c r="E2049">
        <f>C2049&lt;0.05</f>
        <v/>
      </c>
      <c r="F2049">
        <f>A2049=$B$5</f>
        <v/>
      </c>
      <c r="G2049">
        <f>IF(E2049,A2049,10^9)</f>
        <v/>
      </c>
      <c r="H2049">
        <f>IF(E2049,D2049,10^9)</f>
        <v/>
      </c>
    </row>
    <row r="2050">
      <c r="A2050" t="n">
        <v>2042</v>
      </c>
      <c r="B2050" t="n">
        <v>0</v>
      </c>
      <c r="C2050" t="n">
        <v>0</v>
      </c>
      <c r="D2050" t="n">
        <v>2248.670986889335</v>
      </c>
      <c r="E2050">
        <f>C2050&lt;0.05</f>
        <v/>
      </c>
      <c r="F2050">
        <f>A2050=$B$5</f>
        <v/>
      </c>
      <c r="G2050">
        <f>IF(E2050,A2050,10^9)</f>
        <v/>
      </c>
      <c r="H2050">
        <f>IF(E2050,D2050,10^9)</f>
        <v/>
      </c>
    </row>
    <row r="2051">
      <c r="A2051" t="n">
        <v>2043</v>
      </c>
      <c r="B2051" t="n">
        <v>0</v>
      </c>
      <c r="C2051" t="n">
        <v>0</v>
      </c>
      <c r="D2051" t="n">
        <v>2249.670986889335</v>
      </c>
      <c r="E2051">
        <f>C2051&lt;0.05</f>
        <v/>
      </c>
      <c r="F2051">
        <f>A2051=$B$5</f>
        <v/>
      </c>
      <c r="G2051">
        <f>IF(E2051,A2051,10^9)</f>
        <v/>
      </c>
      <c r="H2051">
        <f>IF(E2051,D2051,10^9)</f>
        <v/>
      </c>
    </row>
    <row r="2052">
      <c r="A2052" t="n">
        <v>2044</v>
      </c>
      <c r="B2052" t="n">
        <v>0</v>
      </c>
      <c r="C2052" t="n">
        <v>0</v>
      </c>
      <c r="D2052" t="n">
        <v>2250.670986889335</v>
      </c>
      <c r="E2052">
        <f>C2052&lt;0.05</f>
        <v/>
      </c>
      <c r="F2052">
        <f>A2052=$B$5</f>
        <v/>
      </c>
      <c r="G2052">
        <f>IF(E2052,A2052,10^9)</f>
        <v/>
      </c>
      <c r="H2052">
        <f>IF(E2052,D2052,10^9)</f>
        <v/>
      </c>
    </row>
    <row r="2053">
      <c r="A2053" t="n">
        <v>2045</v>
      </c>
      <c r="B2053" t="n">
        <v>0</v>
      </c>
      <c r="C2053" t="n">
        <v>0</v>
      </c>
      <c r="D2053" t="n">
        <v>2251.670986889335</v>
      </c>
      <c r="E2053">
        <f>C2053&lt;0.05</f>
        <v/>
      </c>
      <c r="F2053">
        <f>A2053=$B$5</f>
        <v/>
      </c>
      <c r="G2053">
        <f>IF(E2053,A2053,10^9)</f>
        <v/>
      </c>
      <c r="H2053">
        <f>IF(E2053,D2053,10^9)</f>
        <v/>
      </c>
    </row>
    <row r="2054">
      <c r="A2054" t="n">
        <v>2046</v>
      </c>
      <c r="B2054" t="n">
        <v>0</v>
      </c>
      <c r="C2054" t="n">
        <v>0</v>
      </c>
      <c r="D2054" t="n">
        <v>2252.670986889335</v>
      </c>
      <c r="E2054">
        <f>C2054&lt;0.05</f>
        <v/>
      </c>
      <c r="F2054">
        <f>A2054=$B$5</f>
        <v/>
      </c>
      <c r="G2054">
        <f>IF(E2054,A2054,10^9)</f>
        <v/>
      </c>
      <c r="H2054">
        <f>IF(E2054,D2054,10^9)</f>
        <v/>
      </c>
    </row>
    <row r="2055">
      <c r="A2055" t="n">
        <v>2047</v>
      </c>
      <c r="B2055" t="n">
        <v>0</v>
      </c>
      <c r="C2055" t="n">
        <v>0</v>
      </c>
      <c r="D2055" t="n">
        <v>2253.670986889335</v>
      </c>
      <c r="E2055">
        <f>C2055&lt;0.05</f>
        <v/>
      </c>
      <c r="F2055">
        <f>A2055=$B$5</f>
        <v/>
      </c>
      <c r="G2055">
        <f>IF(E2055,A2055,10^9)</f>
        <v/>
      </c>
      <c r="H2055">
        <f>IF(E2055,D2055,10^9)</f>
        <v/>
      </c>
    </row>
    <row r="2056">
      <c r="A2056" t="n">
        <v>2048</v>
      </c>
      <c r="B2056" t="n">
        <v>0</v>
      </c>
      <c r="C2056" t="n">
        <v>0</v>
      </c>
      <c r="D2056" t="n">
        <v>2254.670986889335</v>
      </c>
      <c r="E2056">
        <f>C2056&lt;0.05</f>
        <v/>
      </c>
      <c r="F2056">
        <f>A2056=$B$5</f>
        <v/>
      </c>
      <c r="G2056">
        <f>IF(E2056,A2056,10^9)</f>
        <v/>
      </c>
      <c r="H2056">
        <f>IF(E2056,D2056,10^9)</f>
        <v/>
      </c>
    </row>
    <row r="2057">
      <c r="A2057" t="n">
        <v>2049</v>
      </c>
      <c r="B2057" t="n">
        <v>0</v>
      </c>
      <c r="C2057" t="n">
        <v>0</v>
      </c>
      <c r="D2057" t="n">
        <v>2255.670986889335</v>
      </c>
      <c r="E2057">
        <f>C2057&lt;0.05</f>
        <v/>
      </c>
      <c r="F2057">
        <f>A2057=$B$5</f>
        <v/>
      </c>
      <c r="G2057">
        <f>IF(E2057,A2057,10^9)</f>
        <v/>
      </c>
      <c r="H2057">
        <f>IF(E2057,D2057,10^9)</f>
        <v/>
      </c>
    </row>
    <row r="2058">
      <c r="A2058" t="n">
        <v>2050</v>
      </c>
      <c r="B2058" t="n">
        <v>0</v>
      </c>
      <c r="C2058" t="n">
        <v>0</v>
      </c>
      <c r="D2058" t="n">
        <v>2256.670986889335</v>
      </c>
      <c r="E2058">
        <f>C2058&lt;0.05</f>
        <v/>
      </c>
      <c r="F2058">
        <f>A2058=$B$5</f>
        <v/>
      </c>
      <c r="G2058">
        <f>IF(E2058,A2058,10^9)</f>
        <v/>
      </c>
      <c r="H2058">
        <f>IF(E2058,D2058,10^9)</f>
        <v/>
      </c>
    </row>
    <row r="2059">
      <c r="A2059" t="n">
        <v>2051</v>
      </c>
      <c r="B2059" t="n">
        <v>0</v>
      </c>
      <c r="C2059" t="n">
        <v>0</v>
      </c>
      <c r="D2059" t="n">
        <v>2257.670986889335</v>
      </c>
      <c r="E2059">
        <f>C2059&lt;0.05</f>
        <v/>
      </c>
      <c r="F2059">
        <f>A2059=$B$5</f>
        <v/>
      </c>
      <c r="G2059">
        <f>IF(E2059,A2059,10^9)</f>
        <v/>
      </c>
      <c r="H2059">
        <f>IF(E2059,D2059,10^9)</f>
        <v/>
      </c>
    </row>
    <row r="2060">
      <c r="A2060" t="n">
        <v>2052</v>
      </c>
      <c r="B2060" t="n">
        <v>0</v>
      </c>
      <c r="C2060" t="n">
        <v>0</v>
      </c>
      <c r="D2060" t="n">
        <v>2258.670986889335</v>
      </c>
      <c r="E2060">
        <f>C2060&lt;0.05</f>
        <v/>
      </c>
      <c r="F2060">
        <f>A2060=$B$5</f>
        <v/>
      </c>
      <c r="G2060">
        <f>IF(E2060,A2060,10^9)</f>
        <v/>
      </c>
      <c r="H2060">
        <f>IF(E2060,D2060,10^9)</f>
        <v/>
      </c>
    </row>
    <row r="2061">
      <c r="A2061" t="n">
        <v>2053</v>
      </c>
      <c r="B2061" t="n">
        <v>0</v>
      </c>
      <c r="C2061" t="n">
        <v>0</v>
      </c>
      <c r="D2061" t="n">
        <v>2259.670986889335</v>
      </c>
      <c r="E2061">
        <f>C2061&lt;0.05</f>
        <v/>
      </c>
      <c r="F2061">
        <f>A2061=$B$5</f>
        <v/>
      </c>
      <c r="G2061">
        <f>IF(E2061,A2061,10^9)</f>
        <v/>
      </c>
      <c r="H2061">
        <f>IF(E2061,D2061,10^9)</f>
        <v/>
      </c>
    </row>
    <row r="2062">
      <c r="A2062" t="n">
        <v>2054</v>
      </c>
      <c r="B2062" t="n">
        <v>0</v>
      </c>
      <c r="C2062" t="n">
        <v>0</v>
      </c>
      <c r="D2062" t="n">
        <v>2260.670986889335</v>
      </c>
      <c r="E2062">
        <f>C2062&lt;0.05</f>
        <v/>
      </c>
      <c r="F2062">
        <f>A2062=$B$5</f>
        <v/>
      </c>
      <c r="G2062">
        <f>IF(E2062,A2062,10^9)</f>
        <v/>
      </c>
      <c r="H2062">
        <f>IF(E2062,D2062,10^9)</f>
        <v/>
      </c>
    </row>
    <row r="2063">
      <c r="A2063" t="n">
        <v>2055</v>
      </c>
      <c r="B2063" t="n">
        <v>0</v>
      </c>
      <c r="C2063" t="n">
        <v>0</v>
      </c>
      <c r="D2063" t="n">
        <v>2261.670986889335</v>
      </c>
      <c r="E2063">
        <f>C2063&lt;0.05</f>
        <v/>
      </c>
      <c r="F2063">
        <f>A2063=$B$5</f>
        <v/>
      </c>
      <c r="G2063">
        <f>IF(E2063,A2063,10^9)</f>
        <v/>
      </c>
      <c r="H2063">
        <f>IF(E2063,D2063,10^9)</f>
        <v/>
      </c>
    </row>
    <row r="2064">
      <c r="A2064" t="n">
        <v>2056</v>
      </c>
      <c r="B2064" t="n">
        <v>0</v>
      </c>
      <c r="C2064" t="n">
        <v>0</v>
      </c>
      <c r="D2064" t="n">
        <v>2262.670986889335</v>
      </c>
      <c r="E2064">
        <f>C2064&lt;0.05</f>
        <v/>
      </c>
      <c r="F2064">
        <f>A2064=$B$5</f>
        <v/>
      </c>
      <c r="G2064">
        <f>IF(E2064,A2064,10^9)</f>
        <v/>
      </c>
      <c r="H2064">
        <f>IF(E2064,D2064,10^9)</f>
        <v/>
      </c>
    </row>
    <row r="2065">
      <c r="A2065" t="n">
        <v>2057</v>
      </c>
      <c r="B2065" t="n">
        <v>0</v>
      </c>
      <c r="C2065" t="n">
        <v>0</v>
      </c>
      <c r="D2065" t="n">
        <v>2263.670986889335</v>
      </c>
      <c r="E2065">
        <f>C2065&lt;0.05</f>
        <v/>
      </c>
      <c r="F2065">
        <f>A2065=$B$5</f>
        <v/>
      </c>
      <c r="G2065">
        <f>IF(E2065,A2065,10^9)</f>
        <v/>
      </c>
      <c r="H2065">
        <f>IF(E2065,D2065,10^9)</f>
        <v/>
      </c>
    </row>
    <row r="2066">
      <c r="A2066" t="n">
        <v>2058</v>
      </c>
      <c r="B2066" t="n">
        <v>0</v>
      </c>
      <c r="C2066" t="n">
        <v>0</v>
      </c>
      <c r="D2066" t="n">
        <v>2264.670986889335</v>
      </c>
      <c r="E2066">
        <f>C2066&lt;0.05</f>
        <v/>
      </c>
      <c r="F2066">
        <f>A2066=$B$5</f>
        <v/>
      </c>
      <c r="G2066">
        <f>IF(E2066,A2066,10^9)</f>
        <v/>
      </c>
      <c r="H2066">
        <f>IF(E2066,D2066,10^9)</f>
        <v/>
      </c>
    </row>
    <row r="2067">
      <c r="A2067" t="n">
        <v>2059</v>
      </c>
      <c r="B2067" t="n">
        <v>0</v>
      </c>
      <c r="C2067" t="n">
        <v>0</v>
      </c>
      <c r="D2067" t="n">
        <v>2265.670986889335</v>
      </c>
      <c r="E2067">
        <f>C2067&lt;0.05</f>
        <v/>
      </c>
      <c r="F2067">
        <f>A2067=$B$5</f>
        <v/>
      </c>
      <c r="G2067">
        <f>IF(E2067,A2067,10^9)</f>
        <v/>
      </c>
      <c r="H2067">
        <f>IF(E2067,D2067,10^9)</f>
        <v/>
      </c>
    </row>
    <row r="2068">
      <c r="A2068" t="n">
        <v>2060</v>
      </c>
      <c r="B2068" t="n">
        <v>0</v>
      </c>
      <c r="C2068" t="n">
        <v>0</v>
      </c>
      <c r="D2068" t="n">
        <v>2266.670986889335</v>
      </c>
      <c r="E2068">
        <f>C2068&lt;0.05</f>
        <v/>
      </c>
      <c r="F2068">
        <f>A2068=$B$5</f>
        <v/>
      </c>
      <c r="G2068">
        <f>IF(E2068,A2068,10^9)</f>
        <v/>
      </c>
      <c r="H2068">
        <f>IF(E2068,D2068,10^9)</f>
        <v/>
      </c>
    </row>
    <row r="2069">
      <c r="A2069" t="n">
        <v>2061</v>
      </c>
      <c r="B2069" t="n">
        <v>0</v>
      </c>
      <c r="C2069" t="n">
        <v>0</v>
      </c>
      <c r="D2069" t="n">
        <v>2267.670986889335</v>
      </c>
      <c r="E2069">
        <f>C2069&lt;0.05</f>
        <v/>
      </c>
      <c r="F2069">
        <f>A2069=$B$5</f>
        <v/>
      </c>
      <c r="G2069">
        <f>IF(E2069,A2069,10^9)</f>
        <v/>
      </c>
      <c r="H2069">
        <f>IF(E2069,D2069,10^9)</f>
        <v/>
      </c>
    </row>
    <row r="2070">
      <c r="A2070" t="n">
        <v>2062</v>
      </c>
      <c r="B2070" t="n">
        <v>0</v>
      </c>
      <c r="C2070" t="n">
        <v>0</v>
      </c>
      <c r="D2070" t="n">
        <v>2268.670986889335</v>
      </c>
      <c r="E2070">
        <f>C2070&lt;0.05</f>
        <v/>
      </c>
      <c r="F2070">
        <f>A2070=$B$5</f>
        <v/>
      </c>
      <c r="G2070">
        <f>IF(E2070,A2070,10^9)</f>
        <v/>
      </c>
      <c r="H2070">
        <f>IF(E2070,D2070,10^9)</f>
        <v/>
      </c>
    </row>
    <row r="2071">
      <c r="A2071" t="n">
        <v>2063</v>
      </c>
      <c r="B2071" t="n">
        <v>0</v>
      </c>
      <c r="C2071" t="n">
        <v>0</v>
      </c>
      <c r="D2071" t="n">
        <v>2269.670986889335</v>
      </c>
      <c r="E2071">
        <f>C2071&lt;0.05</f>
        <v/>
      </c>
      <c r="F2071">
        <f>A2071=$B$5</f>
        <v/>
      </c>
      <c r="G2071">
        <f>IF(E2071,A2071,10^9)</f>
        <v/>
      </c>
      <c r="H2071">
        <f>IF(E2071,D2071,10^9)</f>
        <v/>
      </c>
    </row>
    <row r="2072">
      <c r="A2072" t="n">
        <v>2064</v>
      </c>
      <c r="B2072" t="n">
        <v>0</v>
      </c>
      <c r="C2072" t="n">
        <v>0</v>
      </c>
      <c r="D2072" t="n">
        <v>2270.670986889335</v>
      </c>
      <c r="E2072">
        <f>C2072&lt;0.05</f>
        <v/>
      </c>
      <c r="F2072">
        <f>A2072=$B$5</f>
        <v/>
      </c>
      <c r="G2072">
        <f>IF(E2072,A2072,10^9)</f>
        <v/>
      </c>
      <c r="H2072">
        <f>IF(E2072,D2072,10^9)</f>
        <v/>
      </c>
    </row>
    <row r="2073">
      <c r="A2073" t="n">
        <v>2065</v>
      </c>
      <c r="B2073" t="n">
        <v>0</v>
      </c>
      <c r="C2073" t="n">
        <v>0</v>
      </c>
      <c r="D2073" t="n">
        <v>2271.670986889335</v>
      </c>
      <c r="E2073">
        <f>C2073&lt;0.05</f>
        <v/>
      </c>
      <c r="F2073">
        <f>A2073=$B$5</f>
        <v/>
      </c>
      <c r="G2073">
        <f>IF(E2073,A2073,10^9)</f>
        <v/>
      </c>
      <c r="H2073">
        <f>IF(E2073,D2073,10^9)</f>
        <v/>
      </c>
    </row>
    <row r="2074">
      <c r="A2074" t="n">
        <v>2066</v>
      </c>
      <c r="B2074" t="n">
        <v>0</v>
      </c>
      <c r="C2074" t="n">
        <v>0</v>
      </c>
      <c r="D2074" t="n">
        <v>2272.670986889335</v>
      </c>
      <c r="E2074">
        <f>C2074&lt;0.05</f>
        <v/>
      </c>
      <c r="F2074">
        <f>A2074=$B$5</f>
        <v/>
      </c>
      <c r="G2074">
        <f>IF(E2074,A2074,10^9)</f>
        <v/>
      </c>
      <c r="H2074">
        <f>IF(E2074,D2074,10^9)</f>
        <v/>
      </c>
    </row>
    <row r="2075">
      <c r="A2075" t="n">
        <v>2067</v>
      </c>
      <c r="B2075" t="n">
        <v>0</v>
      </c>
      <c r="C2075" t="n">
        <v>0</v>
      </c>
      <c r="D2075" t="n">
        <v>2273.670986889335</v>
      </c>
      <c r="E2075">
        <f>C2075&lt;0.05</f>
        <v/>
      </c>
      <c r="F2075">
        <f>A2075=$B$5</f>
        <v/>
      </c>
      <c r="G2075">
        <f>IF(E2075,A2075,10^9)</f>
        <v/>
      </c>
      <c r="H2075">
        <f>IF(E2075,D2075,10^9)</f>
        <v/>
      </c>
    </row>
    <row r="2076">
      <c r="A2076" t="n">
        <v>2068</v>
      </c>
      <c r="B2076" t="n">
        <v>0</v>
      </c>
      <c r="C2076" t="n">
        <v>0</v>
      </c>
      <c r="D2076" t="n">
        <v>2274.670986889335</v>
      </c>
      <c r="E2076">
        <f>C2076&lt;0.05</f>
        <v/>
      </c>
      <c r="F2076">
        <f>A2076=$B$5</f>
        <v/>
      </c>
      <c r="G2076">
        <f>IF(E2076,A2076,10^9)</f>
        <v/>
      </c>
      <c r="H2076">
        <f>IF(E2076,D2076,10^9)</f>
        <v/>
      </c>
    </row>
    <row r="2077">
      <c r="A2077" t="n">
        <v>2069</v>
      </c>
      <c r="B2077" t="n">
        <v>0</v>
      </c>
      <c r="C2077" t="n">
        <v>0</v>
      </c>
      <c r="D2077" t="n">
        <v>2275.670986889335</v>
      </c>
      <c r="E2077">
        <f>C2077&lt;0.05</f>
        <v/>
      </c>
      <c r="F2077">
        <f>A2077=$B$5</f>
        <v/>
      </c>
      <c r="G2077">
        <f>IF(E2077,A2077,10^9)</f>
        <v/>
      </c>
      <c r="H2077">
        <f>IF(E2077,D2077,10^9)</f>
        <v/>
      </c>
    </row>
    <row r="2078">
      <c r="A2078" t="n">
        <v>2070</v>
      </c>
      <c r="B2078" t="n">
        <v>0</v>
      </c>
      <c r="C2078" t="n">
        <v>0</v>
      </c>
      <c r="D2078" t="n">
        <v>2276.670986889335</v>
      </c>
      <c r="E2078">
        <f>C2078&lt;0.05</f>
        <v/>
      </c>
      <c r="F2078">
        <f>A2078=$B$5</f>
        <v/>
      </c>
      <c r="G2078">
        <f>IF(E2078,A2078,10^9)</f>
        <v/>
      </c>
      <c r="H2078">
        <f>IF(E2078,D2078,10^9)</f>
        <v/>
      </c>
    </row>
    <row r="2079">
      <c r="A2079" t="n">
        <v>2071</v>
      </c>
      <c r="B2079" t="n">
        <v>0</v>
      </c>
      <c r="C2079" t="n">
        <v>0</v>
      </c>
      <c r="D2079" t="n">
        <v>2277.670986889335</v>
      </c>
      <c r="E2079">
        <f>C2079&lt;0.05</f>
        <v/>
      </c>
      <c r="F2079">
        <f>A2079=$B$5</f>
        <v/>
      </c>
      <c r="G2079">
        <f>IF(E2079,A2079,10^9)</f>
        <v/>
      </c>
      <c r="H2079">
        <f>IF(E2079,D2079,10^9)</f>
        <v/>
      </c>
    </row>
    <row r="2080">
      <c r="A2080" t="n">
        <v>2072</v>
      </c>
      <c r="B2080" t="n">
        <v>0</v>
      </c>
      <c r="C2080" t="n">
        <v>0</v>
      </c>
      <c r="D2080" t="n">
        <v>2278.670986889335</v>
      </c>
      <c r="E2080">
        <f>C2080&lt;0.05</f>
        <v/>
      </c>
      <c r="F2080">
        <f>A2080=$B$5</f>
        <v/>
      </c>
      <c r="G2080">
        <f>IF(E2080,A2080,10^9)</f>
        <v/>
      </c>
      <c r="H2080">
        <f>IF(E2080,D2080,10^9)</f>
        <v/>
      </c>
    </row>
    <row r="2081">
      <c r="A2081" t="n">
        <v>2073</v>
      </c>
      <c r="B2081" t="n">
        <v>0</v>
      </c>
      <c r="C2081" t="n">
        <v>0</v>
      </c>
      <c r="D2081" t="n">
        <v>2279.670986889335</v>
      </c>
      <c r="E2081">
        <f>C2081&lt;0.05</f>
        <v/>
      </c>
      <c r="F2081">
        <f>A2081=$B$5</f>
        <v/>
      </c>
      <c r="G2081">
        <f>IF(E2081,A2081,10^9)</f>
        <v/>
      </c>
      <c r="H2081">
        <f>IF(E2081,D2081,10^9)</f>
        <v/>
      </c>
    </row>
    <row r="2082">
      <c r="A2082" t="n">
        <v>2074</v>
      </c>
      <c r="B2082" t="n">
        <v>0</v>
      </c>
      <c r="C2082" t="n">
        <v>0</v>
      </c>
      <c r="D2082" t="n">
        <v>2280.670986889335</v>
      </c>
      <c r="E2082">
        <f>C2082&lt;0.05</f>
        <v/>
      </c>
      <c r="F2082">
        <f>A2082=$B$5</f>
        <v/>
      </c>
      <c r="G2082">
        <f>IF(E2082,A2082,10^9)</f>
        <v/>
      </c>
      <c r="H2082">
        <f>IF(E2082,D2082,10^9)</f>
        <v/>
      </c>
    </row>
    <row r="2083">
      <c r="A2083" t="n">
        <v>2075</v>
      </c>
      <c r="B2083" t="n">
        <v>0</v>
      </c>
      <c r="C2083" t="n">
        <v>0</v>
      </c>
      <c r="D2083" t="n">
        <v>2281.670986889335</v>
      </c>
      <c r="E2083">
        <f>C2083&lt;0.05</f>
        <v/>
      </c>
      <c r="F2083">
        <f>A2083=$B$5</f>
        <v/>
      </c>
      <c r="G2083">
        <f>IF(E2083,A2083,10^9)</f>
        <v/>
      </c>
      <c r="H2083">
        <f>IF(E2083,D2083,10^9)</f>
        <v/>
      </c>
    </row>
    <row r="2084">
      <c r="A2084" t="n">
        <v>2076</v>
      </c>
      <c r="B2084" t="n">
        <v>0</v>
      </c>
      <c r="C2084" t="n">
        <v>0</v>
      </c>
      <c r="D2084" t="n">
        <v>2282.670986889335</v>
      </c>
      <c r="E2084">
        <f>C2084&lt;0.05</f>
        <v/>
      </c>
      <c r="F2084">
        <f>A2084=$B$5</f>
        <v/>
      </c>
      <c r="G2084">
        <f>IF(E2084,A2084,10^9)</f>
        <v/>
      </c>
      <c r="H2084">
        <f>IF(E2084,D2084,10^9)</f>
        <v/>
      </c>
    </row>
    <row r="2085">
      <c r="A2085" t="n">
        <v>2077</v>
      </c>
      <c r="B2085" t="n">
        <v>0</v>
      </c>
      <c r="C2085" t="n">
        <v>0</v>
      </c>
      <c r="D2085" t="n">
        <v>2283.670986889335</v>
      </c>
      <c r="E2085">
        <f>C2085&lt;0.05</f>
        <v/>
      </c>
      <c r="F2085">
        <f>A2085=$B$5</f>
        <v/>
      </c>
      <c r="G2085">
        <f>IF(E2085,A2085,10^9)</f>
        <v/>
      </c>
      <c r="H2085">
        <f>IF(E2085,D2085,10^9)</f>
        <v/>
      </c>
    </row>
    <row r="2086">
      <c r="A2086" t="n">
        <v>2078</v>
      </c>
      <c r="B2086" t="n">
        <v>0</v>
      </c>
      <c r="C2086" t="n">
        <v>0</v>
      </c>
      <c r="D2086" t="n">
        <v>2284.670986889335</v>
      </c>
      <c r="E2086">
        <f>C2086&lt;0.05</f>
        <v/>
      </c>
      <c r="F2086">
        <f>A2086=$B$5</f>
        <v/>
      </c>
      <c r="G2086">
        <f>IF(E2086,A2086,10^9)</f>
        <v/>
      </c>
      <c r="H2086">
        <f>IF(E2086,D2086,10^9)</f>
        <v/>
      </c>
    </row>
    <row r="2087">
      <c r="A2087" t="n">
        <v>2079</v>
      </c>
      <c r="B2087" t="n">
        <v>0</v>
      </c>
      <c r="C2087" t="n">
        <v>0</v>
      </c>
      <c r="D2087" t="n">
        <v>2285.670986889335</v>
      </c>
      <c r="E2087">
        <f>C2087&lt;0.05</f>
        <v/>
      </c>
      <c r="F2087">
        <f>A2087=$B$5</f>
        <v/>
      </c>
      <c r="G2087">
        <f>IF(E2087,A2087,10^9)</f>
        <v/>
      </c>
      <c r="H2087">
        <f>IF(E2087,D2087,10^9)</f>
        <v/>
      </c>
    </row>
    <row r="2088">
      <c r="A2088" t="n">
        <v>2080</v>
      </c>
      <c r="B2088" t="n">
        <v>0</v>
      </c>
      <c r="C2088" t="n">
        <v>0</v>
      </c>
      <c r="D2088" t="n">
        <v>2286.670986889335</v>
      </c>
      <c r="E2088">
        <f>C2088&lt;0.05</f>
        <v/>
      </c>
      <c r="F2088">
        <f>A2088=$B$5</f>
        <v/>
      </c>
      <c r="G2088">
        <f>IF(E2088,A2088,10^9)</f>
        <v/>
      </c>
      <c r="H2088">
        <f>IF(E2088,D2088,10^9)</f>
        <v/>
      </c>
    </row>
    <row r="2089">
      <c r="A2089" t="n">
        <v>2081</v>
      </c>
      <c r="B2089" t="n">
        <v>0</v>
      </c>
      <c r="C2089" t="n">
        <v>0</v>
      </c>
      <c r="D2089" t="n">
        <v>2287.670986889335</v>
      </c>
      <c r="E2089">
        <f>C2089&lt;0.05</f>
        <v/>
      </c>
      <c r="F2089">
        <f>A2089=$B$5</f>
        <v/>
      </c>
      <c r="G2089">
        <f>IF(E2089,A2089,10^9)</f>
        <v/>
      </c>
      <c r="H2089">
        <f>IF(E2089,D2089,10^9)</f>
        <v/>
      </c>
    </row>
    <row r="2090">
      <c r="A2090" t="n">
        <v>2082</v>
      </c>
      <c r="B2090" t="n">
        <v>0</v>
      </c>
      <c r="C2090" t="n">
        <v>0</v>
      </c>
      <c r="D2090" t="n">
        <v>2288.670986889335</v>
      </c>
      <c r="E2090">
        <f>C2090&lt;0.05</f>
        <v/>
      </c>
      <c r="F2090">
        <f>A2090=$B$5</f>
        <v/>
      </c>
      <c r="G2090">
        <f>IF(E2090,A2090,10^9)</f>
        <v/>
      </c>
      <c r="H2090">
        <f>IF(E2090,D2090,10^9)</f>
        <v/>
      </c>
    </row>
    <row r="2091">
      <c r="A2091" t="n">
        <v>2083</v>
      </c>
      <c r="B2091" t="n">
        <v>0</v>
      </c>
      <c r="C2091" t="n">
        <v>0</v>
      </c>
      <c r="D2091" t="n">
        <v>2289.670986889335</v>
      </c>
      <c r="E2091">
        <f>C2091&lt;0.05</f>
        <v/>
      </c>
      <c r="F2091">
        <f>A2091=$B$5</f>
        <v/>
      </c>
      <c r="G2091">
        <f>IF(E2091,A2091,10^9)</f>
        <v/>
      </c>
      <c r="H2091">
        <f>IF(E2091,D2091,10^9)</f>
        <v/>
      </c>
    </row>
    <row r="2092">
      <c r="A2092" t="n">
        <v>2084</v>
      </c>
      <c r="B2092" t="n">
        <v>0</v>
      </c>
      <c r="C2092" t="n">
        <v>0</v>
      </c>
      <c r="D2092" t="n">
        <v>2290.670986889335</v>
      </c>
      <c r="E2092">
        <f>C2092&lt;0.05</f>
        <v/>
      </c>
      <c r="F2092">
        <f>A2092=$B$5</f>
        <v/>
      </c>
      <c r="G2092">
        <f>IF(E2092,A2092,10^9)</f>
        <v/>
      </c>
      <c r="H2092">
        <f>IF(E2092,D2092,10^9)</f>
        <v/>
      </c>
    </row>
    <row r="2093">
      <c r="A2093" t="n">
        <v>2085</v>
      </c>
      <c r="B2093" t="n">
        <v>0</v>
      </c>
      <c r="C2093" t="n">
        <v>0</v>
      </c>
      <c r="D2093" t="n">
        <v>2291.670986889335</v>
      </c>
      <c r="E2093">
        <f>C2093&lt;0.05</f>
        <v/>
      </c>
      <c r="F2093">
        <f>A2093=$B$5</f>
        <v/>
      </c>
      <c r="G2093">
        <f>IF(E2093,A2093,10^9)</f>
        <v/>
      </c>
      <c r="H2093">
        <f>IF(E2093,D2093,10^9)</f>
        <v/>
      </c>
    </row>
    <row r="2094">
      <c r="A2094" t="n">
        <v>2086</v>
      </c>
      <c r="B2094" t="n">
        <v>0</v>
      </c>
      <c r="C2094" t="n">
        <v>0</v>
      </c>
      <c r="D2094" t="n">
        <v>2292.670986889335</v>
      </c>
      <c r="E2094">
        <f>C2094&lt;0.05</f>
        <v/>
      </c>
      <c r="F2094">
        <f>A2094=$B$5</f>
        <v/>
      </c>
      <c r="G2094">
        <f>IF(E2094,A2094,10^9)</f>
        <v/>
      </c>
      <c r="H2094">
        <f>IF(E2094,D2094,10^9)</f>
        <v/>
      </c>
    </row>
    <row r="2095">
      <c r="A2095" t="n">
        <v>2087</v>
      </c>
      <c r="B2095" t="n">
        <v>0</v>
      </c>
      <c r="C2095" t="n">
        <v>0</v>
      </c>
      <c r="D2095" t="n">
        <v>2293.670986889335</v>
      </c>
      <c r="E2095">
        <f>C2095&lt;0.05</f>
        <v/>
      </c>
      <c r="F2095">
        <f>A2095=$B$5</f>
        <v/>
      </c>
      <c r="G2095">
        <f>IF(E2095,A2095,10^9)</f>
        <v/>
      </c>
      <c r="H2095">
        <f>IF(E2095,D2095,10^9)</f>
        <v/>
      </c>
    </row>
    <row r="2096">
      <c r="A2096" t="n">
        <v>2088</v>
      </c>
      <c r="B2096" t="n">
        <v>0</v>
      </c>
      <c r="C2096" t="n">
        <v>0</v>
      </c>
      <c r="D2096" t="n">
        <v>2294.670986889335</v>
      </c>
      <c r="E2096">
        <f>C2096&lt;0.05</f>
        <v/>
      </c>
      <c r="F2096">
        <f>A2096=$B$5</f>
        <v/>
      </c>
      <c r="G2096">
        <f>IF(E2096,A2096,10^9)</f>
        <v/>
      </c>
      <c r="H2096">
        <f>IF(E2096,D2096,10^9)</f>
        <v/>
      </c>
    </row>
    <row r="2097">
      <c r="A2097" t="n">
        <v>2089</v>
      </c>
      <c r="B2097" t="n">
        <v>0</v>
      </c>
      <c r="C2097" t="n">
        <v>0</v>
      </c>
      <c r="D2097" t="n">
        <v>2295.670986889335</v>
      </c>
      <c r="E2097">
        <f>C2097&lt;0.05</f>
        <v/>
      </c>
      <c r="F2097">
        <f>A2097=$B$5</f>
        <v/>
      </c>
      <c r="G2097">
        <f>IF(E2097,A2097,10^9)</f>
        <v/>
      </c>
      <c r="H2097">
        <f>IF(E2097,D2097,10^9)</f>
        <v/>
      </c>
    </row>
    <row r="2098">
      <c r="A2098" t="n">
        <v>2090</v>
      </c>
      <c r="B2098" t="n">
        <v>0</v>
      </c>
      <c r="C2098" t="n">
        <v>0</v>
      </c>
      <c r="D2098" t="n">
        <v>2296.670986889335</v>
      </c>
      <c r="E2098">
        <f>C2098&lt;0.05</f>
        <v/>
      </c>
      <c r="F2098">
        <f>A2098=$B$5</f>
        <v/>
      </c>
      <c r="G2098">
        <f>IF(E2098,A2098,10^9)</f>
        <v/>
      </c>
      <c r="H2098">
        <f>IF(E2098,D2098,10^9)</f>
        <v/>
      </c>
    </row>
    <row r="2099">
      <c r="A2099" t="n">
        <v>2091</v>
      </c>
      <c r="B2099" t="n">
        <v>0</v>
      </c>
      <c r="C2099" t="n">
        <v>0</v>
      </c>
      <c r="D2099" t="n">
        <v>2297.670986889335</v>
      </c>
      <c r="E2099">
        <f>C2099&lt;0.05</f>
        <v/>
      </c>
      <c r="F2099">
        <f>A2099=$B$5</f>
        <v/>
      </c>
      <c r="G2099">
        <f>IF(E2099,A2099,10^9)</f>
        <v/>
      </c>
      <c r="H2099">
        <f>IF(E2099,D2099,10^9)</f>
        <v/>
      </c>
    </row>
    <row r="2100">
      <c r="A2100" t="n">
        <v>2092</v>
      </c>
      <c r="B2100" t="n">
        <v>0</v>
      </c>
      <c r="C2100" t="n">
        <v>0</v>
      </c>
      <c r="D2100" t="n">
        <v>2298.670986889335</v>
      </c>
      <c r="E2100">
        <f>C2100&lt;0.05</f>
        <v/>
      </c>
      <c r="F2100">
        <f>A2100=$B$5</f>
        <v/>
      </c>
      <c r="G2100">
        <f>IF(E2100,A2100,10^9)</f>
        <v/>
      </c>
      <c r="H2100">
        <f>IF(E2100,D2100,10^9)</f>
        <v/>
      </c>
    </row>
    <row r="2101">
      <c r="A2101" t="n">
        <v>2093</v>
      </c>
      <c r="B2101" t="n">
        <v>0</v>
      </c>
      <c r="C2101" t="n">
        <v>0</v>
      </c>
      <c r="D2101" t="n">
        <v>2299.670986889335</v>
      </c>
      <c r="E2101">
        <f>C2101&lt;0.05</f>
        <v/>
      </c>
      <c r="F2101">
        <f>A2101=$B$5</f>
        <v/>
      </c>
      <c r="G2101">
        <f>IF(E2101,A2101,10^9)</f>
        <v/>
      </c>
      <c r="H2101">
        <f>IF(E2101,D2101,10^9)</f>
        <v/>
      </c>
    </row>
    <row r="2102">
      <c r="A2102" t="n">
        <v>2094</v>
      </c>
      <c r="B2102" t="n">
        <v>0</v>
      </c>
      <c r="C2102" t="n">
        <v>0</v>
      </c>
      <c r="D2102" t="n">
        <v>2300.670986889335</v>
      </c>
      <c r="E2102">
        <f>C2102&lt;0.05</f>
        <v/>
      </c>
      <c r="F2102">
        <f>A2102=$B$5</f>
        <v/>
      </c>
      <c r="G2102">
        <f>IF(E2102,A2102,10^9)</f>
        <v/>
      </c>
      <c r="H2102">
        <f>IF(E2102,D2102,10^9)</f>
        <v/>
      </c>
    </row>
    <row r="2103">
      <c r="A2103" t="n">
        <v>2095</v>
      </c>
      <c r="B2103" t="n">
        <v>0</v>
      </c>
      <c r="C2103" t="n">
        <v>0</v>
      </c>
      <c r="D2103" t="n">
        <v>2301.670986889335</v>
      </c>
      <c r="E2103">
        <f>C2103&lt;0.05</f>
        <v/>
      </c>
      <c r="F2103">
        <f>A2103=$B$5</f>
        <v/>
      </c>
      <c r="G2103">
        <f>IF(E2103,A2103,10^9)</f>
        <v/>
      </c>
      <c r="H2103">
        <f>IF(E2103,D2103,10^9)</f>
        <v/>
      </c>
    </row>
    <row r="2104">
      <c r="A2104" t="n">
        <v>2096</v>
      </c>
      <c r="B2104" t="n">
        <v>0</v>
      </c>
      <c r="C2104" t="n">
        <v>0</v>
      </c>
      <c r="D2104" t="n">
        <v>2302.670986889335</v>
      </c>
      <c r="E2104">
        <f>C2104&lt;0.05</f>
        <v/>
      </c>
      <c r="F2104">
        <f>A2104=$B$5</f>
        <v/>
      </c>
      <c r="G2104">
        <f>IF(E2104,A2104,10^9)</f>
        <v/>
      </c>
      <c r="H2104">
        <f>IF(E2104,D2104,10^9)</f>
        <v/>
      </c>
    </row>
    <row r="2105">
      <c r="A2105" t="n">
        <v>2097</v>
      </c>
      <c r="B2105" t="n">
        <v>0</v>
      </c>
      <c r="C2105" t="n">
        <v>0</v>
      </c>
      <c r="D2105" t="n">
        <v>2303.670986889335</v>
      </c>
      <c r="E2105">
        <f>C2105&lt;0.05</f>
        <v/>
      </c>
      <c r="F2105">
        <f>A2105=$B$5</f>
        <v/>
      </c>
      <c r="G2105">
        <f>IF(E2105,A2105,10^9)</f>
        <v/>
      </c>
      <c r="H2105">
        <f>IF(E2105,D2105,10^9)</f>
        <v/>
      </c>
    </row>
    <row r="2106">
      <c r="A2106" t="n">
        <v>2098</v>
      </c>
      <c r="B2106" t="n">
        <v>0</v>
      </c>
      <c r="C2106" t="n">
        <v>0</v>
      </c>
      <c r="D2106" t="n">
        <v>2304.670986889335</v>
      </c>
      <c r="E2106">
        <f>C2106&lt;0.05</f>
        <v/>
      </c>
      <c r="F2106">
        <f>A2106=$B$5</f>
        <v/>
      </c>
      <c r="G2106">
        <f>IF(E2106,A2106,10^9)</f>
        <v/>
      </c>
      <c r="H2106">
        <f>IF(E2106,D2106,10^9)</f>
        <v/>
      </c>
    </row>
    <row r="2107">
      <c r="A2107" t="n">
        <v>2099</v>
      </c>
      <c r="B2107" t="n">
        <v>0</v>
      </c>
      <c r="C2107" t="n">
        <v>0</v>
      </c>
      <c r="D2107" t="n">
        <v>2305.670986889335</v>
      </c>
      <c r="E2107">
        <f>C2107&lt;0.05</f>
        <v/>
      </c>
      <c r="F2107">
        <f>A2107=$B$5</f>
        <v/>
      </c>
      <c r="G2107">
        <f>IF(E2107,A2107,10^9)</f>
        <v/>
      </c>
      <c r="H2107">
        <f>IF(E2107,D2107,10^9)</f>
        <v/>
      </c>
    </row>
    <row r="2108">
      <c r="A2108" t="n">
        <v>2100</v>
      </c>
      <c r="B2108" t="n">
        <v>0</v>
      </c>
      <c r="C2108" t="n">
        <v>0</v>
      </c>
      <c r="D2108" t="n">
        <v>2306.670986889335</v>
      </c>
      <c r="E2108">
        <f>C2108&lt;0.05</f>
        <v/>
      </c>
      <c r="F2108">
        <f>A2108=$B$5</f>
        <v/>
      </c>
      <c r="G2108">
        <f>IF(E2108,A2108,10^9)</f>
        <v/>
      </c>
      <c r="H2108">
        <f>IF(E2108,D2108,10^9)</f>
        <v/>
      </c>
    </row>
    <row r="2109">
      <c r="A2109" t="n">
        <v>2101</v>
      </c>
      <c r="B2109" t="n">
        <v>0</v>
      </c>
      <c r="C2109" t="n">
        <v>0</v>
      </c>
      <c r="D2109" t="n">
        <v>2307.670986889335</v>
      </c>
      <c r="E2109">
        <f>C2109&lt;0.05</f>
        <v/>
      </c>
      <c r="F2109">
        <f>A2109=$B$5</f>
        <v/>
      </c>
      <c r="G2109">
        <f>IF(E2109,A2109,10^9)</f>
        <v/>
      </c>
      <c r="H2109">
        <f>IF(E2109,D2109,10^9)</f>
        <v/>
      </c>
    </row>
    <row r="2110">
      <c r="A2110" t="n">
        <v>2102</v>
      </c>
      <c r="B2110" t="n">
        <v>0</v>
      </c>
      <c r="C2110" t="n">
        <v>0</v>
      </c>
      <c r="D2110" t="n">
        <v>2308.670986889335</v>
      </c>
      <c r="E2110">
        <f>C2110&lt;0.05</f>
        <v/>
      </c>
      <c r="F2110">
        <f>A2110=$B$5</f>
        <v/>
      </c>
      <c r="G2110">
        <f>IF(E2110,A2110,10^9)</f>
        <v/>
      </c>
      <c r="H2110">
        <f>IF(E2110,D2110,10^9)</f>
        <v/>
      </c>
    </row>
    <row r="2111">
      <c r="A2111" t="n">
        <v>2103</v>
      </c>
      <c r="B2111" t="n">
        <v>0</v>
      </c>
      <c r="C2111" t="n">
        <v>0</v>
      </c>
      <c r="D2111" t="n">
        <v>2309.670986889335</v>
      </c>
      <c r="E2111">
        <f>C2111&lt;0.05</f>
        <v/>
      </c>
      <c r="F2111">
        <f>A2111=$B$5</f>
        <v/>
      </c>
      <c r="G2111">
        <f>IF(E2111,A2111,10^9)</f>
        <v/>
      </c>
      <c r="H2111">
        <f>IF(E2111,D2111,10^9)</f>
        <v/>
      </c>
    </row>
    <row r="2112">
      <c r="A2112" t="n">
        <v>2104</v>
      </c>
      <c r="B2112" t="n">
        <v>0</v>
      </c>
      <c r="C2112" t="n">
        <v>0</v>
      </c>
      <c r="D2112" t="n">
        <v>2310.670986889335</v>
      </c>
      <c r="E2112">
        <f>C2112&lt;0.05</f>
        <v/>
      </c>
      <c r="F2112">
        <f>A2112=$B$5</f>
        <v/>
      </c>
      <c r="G2112">
        <f>IF(E2112,A2112,10^9)</f>
        <v/>
      </c>
      <c r="H2112">
        <f>IF(E2112,D2112,10^9)</f>
        <v/>
      </c>
    </row>
    <row r="2113">
      <c r="A2113" t="n">
        <v>2105</v>
      </c>
      <c r="B2113" t="n">
        <v>0</v>
      </c>
      <c r="C2113" t="n">
        <v>0</v>
      </c>
      <c r="D2113" t="n">
        <v>2311.670986889335</v>
      </c>
      <c r="E2113">
        <f>C2113&lt;0.05</f>
        <v/>
      </c>
      <c r="F2113">
        <f>A2113=$B$5</f>
        <v/>
      </c>
      <c r="G2113">
        <f>IF(E2113,A2113,10^9)</f>
        <v/>
      </c>
      <c r="H2113">
        <f>IF(E2113,D2113,10^9)</f>
        <v/>
      </c>
    </row>
    <row r="2114">
      <c r="A2114" t="n">
        <v>2106</v>
      </c>
      <c r="B2114" t="n">
        <v>0</v>
      </c>
      <c r="C2114" t="n">
        <v>0</v>
      </c>
      <c r="D2114" t="n">
        <v>2312.670986889335</v>
      </c>
      <c r="E2114">
        <f>C2114&lt;0.05</f>
        <v/>
      </c>
      <c r="F2114">
        <f>A2114=$B$5</f>
        <v/>
      </c>
      <c r="G2114">
        <f>IF(E2114,A2114,10^9)</f>
        <v/>
      </c>
      <c r="H2114">
        <f>IF(E2114,D2114,10^9)</f>
        <v/>
      </c>
    </row>
    <row r="2115">
      <c r="A2115" t="n">
        <v>2107</v>
      </c>
      <c r="B2115" t="n">
        <v>0</v>
      </c>
      <c r="C2115" t="n">
        <v>0</v>
      </c>
      <c r="D2115" t="n">
        <v>2313.670986889335</v>
      </c>
      <c r="E2115">
        <f>C2115&lt;0.05</f>
        <v/>
      </c>
      <c r="F2115">
        <f>A2115=$B$5</f>
        <v/>
      </c>
      <c r="G2115">
        <f>IF(E2115,A2115,10^9)</f>
        <v/>
      </c>
      <c r="H2115">
        <f>IF(E2115,D2115,10^9)</f>
        <v/>
      </c>
    </row>
    <row r="2116">
      <c r="A2116" t="n">
        <v>2108</v>
      </c>
      <c r="B2116" t="n">
        <v>0</v>
      </c>
      <c r="C2116" t="n">
        <v>0</v>
      </c>
      <c r="D2116" t="n">
        <v>2314.670986889335</v>
      </c>
      <c r="E2116">
        <f>C2116&lt;0.05</f>
        <v/>
      </c>
      <c r="F2116">
        <f>A2116=$B$5</f>
        <v/>
      </c>
      <c r="G2116">
        <f>IF(E2116,A2116,10^9)</f>
        <v/>
      </c>
      <c r="H2116">
        <f>IF(E2116,D2116,10^9)</f>
        <v/>
      </c>
    </row>
    <row r="2117">
      <c r="A2117" t="n">
        <v>2109</v>
      </c>
      <c r="B2117" t="n">
        <v>0</v>
      </c>
      <c r="C2117" t="n">
        <v>0</v>
      </c>
      <c r="D2117" t="n">
        <v>2315.670986889335</v>
      </c>
      <c r="E2117">
        <f>C2117&lt;0.05</f>
        <v/>
      </c>
      <c r="F2117">
        <f>A2117=$B$5</f>
        <v/>
      </c>
      <c r="G2117">
        <f>IF(E2117,A2117,10^9)</f>
        <v/>
      </c>
      <c r="H2117">
        <f>IF(E2117,D2117,10^9)</f>
        <v/>
      </c>
    </row>
    <row r="2118">
      <c r="A2118" t="n">
        <v>2110</v>
      </c>
      <c r="B2118" t="n">
        <v>0</v>
      </c>
      <c r="C2118" t="n">
        <v>0</v>
      </c>
      <c r="D2118" t="n">
        <v>2316.670986889335</v>
      </c>
      <c r="E2118">
        <f>C2118&lt;0.05</f>
        <v/>
      </c>
      <c r="F2118">
        <f>A2118=$B$5</f>
        <v/>
      </c>
      <c r="G2118">
        <f>IF(E2118,A2118,10^9)</f>
        <v/>
      </c>
      <c r="H2118">
        <f>IF(E2118,D2118,10^9)</f>
        <v/>
      </c>
    </row>
    <row r="2119">
      <c r="A2119" t="n">
        <v>2111</v>
      </c>
      <c r="B2119" t="n">
        <v>0</v>
      </c>
      <c r="C2119" t="n">
        <v>0</v>
      </c>
      <c r="D2119" t="n">
        <v>2317.670986889335</v>
      </c>
      <c r="E2119">
        <f>C2119&lt;0.05</f>
        <v/>
      </c>
      <c r="F2119">
        <f>A2119=$B$5</f>
        <v/>
      </c>
      <c r="G2119">
        <f>IF(E2119,A2119,10^9)</f>
        <v/>
      </c>
      <c r="H2119">
        <f>IF(E2119,D2119,10^9)</f>
        <v/>
      </c>
    </row>
    <row r="2120">
      <c r="A2120" t="n">
        <v>2112</v>
      </c>
      <c r="B2120" t="n">
        <v>0</v>
      </c>
      <c r="C2120" t="n">
        <v>0</v>
      </c>
      <c r="D2120" t="n">
        <v>2318.670986889335</v>
      </c>
      <c r="E2120">
        <f>C2120&lt;0.05</f>
        <v/>
      </c>
      <c r="F2120">
        <f>A2120=$B$5</f>
        <v/>
      </c>
      <c r="G2120">
        <f>IF(E2120,A2120,10^9)</f>
        <v/>
      </c>
      <c r="H2120">
        <f>IF(E2120,D2120,10^9)</f>
        <v/>
      </c>
    </row>
    <row r="2121">
      <c r="A2121" t="n">
        <v>2113</v>
      </c>
      <c r="B2121" t="n">
        <v>0</v>
      </c>
      <c r="C2121" t="n">
        <v>0</v>
      </c>
      <c r="D2121" t="n">
        <v>2319.670986889335</v>
      </c>
      <c r="E2121">
        <f>C2121&lt;0.05</f>
        <v/>
      </c>
      <c r="F2121">
        <f>A2121=$B$5</f>
        <v/>
      </c>
      <c r="G2121">
        <f>IF(E2121,A2121,10^9)</f>
        <v/>
      </c>
      <c r="H2121">
        <f>IF(E2121,D2121,10^9)</f>
        <v/>
      </c>
    </row>
    <row r="2122">
      <c r="A2122" t="n">
        <v>2114</v>
      </c>
      <c r="B2122" t="n">
        <v>0</v>
      </c>
      <c r="C2122" t="n">
        <v>0</v>
      </c>
      <c r="D2122" t="n">
        <v>2320.670986889335</v>
      </c>
      <c r="E2122">
        <f>C2122&lt;0.05</f>
        <v/>
      </c>
      <c r="F2122">
        <f>A2122=$B$5</f>
        <v/>
      </c>
      <c r="G2122">
        <f>IF(E2122,A2122,10^9)</f>
        <v/>
      </c>
      <c r="H2122">
        <f>IF(E2122,D2122,10^9)</f>
        <v/>
      </c>
    </row>
    <row r="2123">
      <c r="A2123" t="n">
        <v>2115</v>
      </c>
      <c r="B2123" t="n">
        <v>0</v>
      </c>
      <c r="C2123" t="n">
        <v>0</v>
      </c>
      <c r="D2123" t="n">
        <v>2321.670986889335</v>
      </c>
      <c r="E2123">
        <f>C2123&lt;0.05</f>
        <v/>
      </c>
      <c r="F2123">
        <f>A2123=$B$5</f>
        <v/>
      </c>
      <c r="G2123">
        <f>IF(E2123,A2123,10^9)</f>
        <v/>
      </c>
      <c r="H2123">
        <f>IF(E2123,D2123,10^9)</f>
        <v/>
      </c>
    </row>
    <row r="2124">
      <c r="A2124" t="n">
        <v>2116</v>
      </c>
      <c r="B2124" t="n">
        <v>0</v>
      </c>
      <c r="C2124" t="n">
        <v>0</v>
      </c>
      <c r="D2124" t="n">
        <v>2322.670986889335</v>
      </c>
      <c r="E2124">
        <f>C2124&lt;0.05</f>
        <v/>
      </c>
      <c r="F2124">
        <f>A2124=$B$5</f>
        <v/>
      </c>
      <c r="G2124">
        <f>IF(E2124,A2124,10^9)</f>
        <v/>
      </c>
      <c r="H2124">
        <f>IF(E2124,D2124,10^9)</f>
        <v/>
      </c>
    </row>
    <row r="2125">
      <c r="A2125" t="n">
        <v>2117</v>
      </c>
      <c r="B2125" t="n">
        <v>0</v>
      </c>
      <c r="C2125" t="n">
        <v>0</v>
      </c>
      <c r="D2125" t="n">
        <v>2323.670986889335</v>
      </c>
      <c r="E2125">
        <f>C2125&lt;0.05</f>
        <v/>
      </c>
      <c r="F2125">
        <f>A2125=$B$5</f>
        <v/>
      </c>
      <c r="G2125">
        <f>IF(E2125,A2125,10^9)</f>
        <v/>
      </c>
      <c r="H2125">
        <f>IF(E2125,D2125,10^9)</f>
        <v/>
      </c>
    </row>
    <row r="2126">
      <c r="A2126" t="n">
        <v>2118</v>
      </c>
      <c r="B2126" t="n">
        <v>0</v>
      </c>
      <c r="C2126" t="n">
        <v>0</v>
      </c>
      <c r="D2126" t="n">
        <v>2324.670986889335</v>
      </c>
      <c r="E2126">
        <f>C2126&lt;0.05</f>
        <v/>
      </c>
      <c r="F2126">
        <f>A2126=$B$5</f>
        <v/>
      </c>
      <c r="G2126">
        <f>IF(E2126,A2126,10^9)</f>
        <v/>
      </c>
      <c r="H2126">
        <f>IF(E2126,D2126,10^9)</f>
        <v/>
      </c>
    </row>
    <row r="2127">
      <c r="A2127" t="n">
        <v>2119</v>
      </c>
      <c r="B2127" t="n">
        <v>0</v>
      </c>
      <c r="C2127" t="n">
        <v>0</v>
      </c>
      <c r="D2127" t="n">
        <v>2325.670986889335</v>
      </c>
      <c r="E2127">
        <f>C2127&lt;0.05</f>
        <v/>
      </c>
      <c r="F2127">
        <f>A2127=$B$5</f>
        <v/>
      </c>
      <c r="G2127">
        <f>IF(E2127,A2127,10^9)</f>
        <v/>
      </c>
      <c r="H2127">
        <f>IF(E2127,D2127,10^9)</f>
        <v/>
      </c>
    </row>
    <row r="2128">
      <c r="A2128" t="n">
        <v>2120</v>
      </c>
      <c r="B2128" t="n">
        <v>0</v>
      </c>
      <c r="C2128" t="n">
        <v>0</v>
      </c>
      <c r="D2128" t="n">
        <v>2326.670986889335</v>
      </c>
      <c r="E2128">
        <f>C2128&lt;0.05</f>
        <v/>
      </c>
      <c r="F2128">
        <f>A2128=$B$5</f>
        <v/>
      </c>
      <c r="G2128">
        <f>IF(E2128,A2128,10^9)</f>
        <v/>
      </c>
      <c r="H2128">
        <f>IF(E2128,D2128,10^9)</f>
        <v/>
      </c>
    </row>
    <row r="2129">
      <c r="A2129" t="n">
        <v>2121</v>
      </c>
      <c r="B2129" t="n">
        <v>0</v>
      </c>
      <c r="C2129" t="n">
        <v>0</v>
      </c>
      <c r="D2129" t="n">
        <v>2327.670986889335</v>
      </c>
      <c r="E2129">
        <f>C2129&lt;0.05</f>
        <v/>
      </c>
      <c r="F2129">
        <f>A2129=$B$5</f>
        <v/>
      </c>
      <c r="G2129">
        <f>IF(E2129,A2129,10^9)</f>
        <v/>
      </c>
      <c r="H2129">
        <f>IF(E2129,D2129,10^9)</f>
        <v/>
      </c>
    </row>
    <row r="2130">
      <c r="A2130" t="n">
        <v>2122</v>
      </c>
      <c r="B2130" t="n">
        <v>0</v>
      </c>
      <c r="C2130" t="n">
        <v>0</v>
      </c>
      <c r="D2130" t="n">
        <v>2328.670986889335</v>
      </c>
      <c r="E2130">
        <f>C2130&lt;0.05</f>
        <v/>
      </c>
      <c r="F2130">
        <f>A2130=$B$5</f>
        <v/>
      </c>
      <c r="G2130">
        <f>IF(E2130,A2130,10^9)</f>
        <v/>
      </c>
      <c r="H2130">
        <f>IF(E2130,D2130,10^9)</f>
        <v/>
      </c>
    </row>
    <row r="2131">
      <c r="A2131" t="n">
        <v>2123</v>
      </c>
      <c r="B2131" t="n">
        <v>0</v>
      </c>
      <c r="C2131" t="n">
        <v>0</v>
      </c>
      <c r="D2131" t="n">
        <v>2329.670986889335</v>
      </c>
      <c r="E2131">
        <f>C2131&lt;0.05</f>
        <v/>
      </c>
      <c r="F2131">
        <f>A2131=$B$5</f>
        <v/>
      </c>
      <c r="G2131">
        <f>IF(E2131,A2131,10^9)</f>
        <v/>
      </c>
      <c r="H2131">
        <f>IF(E2131,D2131,10^9)</f>
        <v/>
      </c>
    </row>
    <row r="2132">
      <c r="A2132" t="n">
        <v>2124</v>
      </c>
      <c r="B2132" t="n">
        <v>0</v>
      </c>
      <c r="C2132" t="n">
        <v>0</v>
      </c>
      <c r="D2132" t="n">
        <v>2330.670986889335</v>
      </c>
      <c r="E2132">
        <f>C2132&lt;0.05</f>
        <v/>
      </c>
      <c r="F2132">
        <f>A2132=$B$5</f>
        <v/>
      </c>
      <c r="G2132">
        <f>IF(E2132,A2132,10^9)</f>
        <v/>
      </c>
      <c r="H2132">
        <f>IF(E2132,D2132,10^9)</f>
        <v/>
      </c>
    </row>
    <row r="2133">
      <c r="A2133" t="n">
        <v>2125</v>
      </c>
      <c r="B2133" t="n">
        <v>0</v>
      </c>
      <c r="C2133" t="n">
        <v>0</v>
      </c>
      <c r="D2133" t="n">
        <v>2331.670986889335</v>
      </c>
      <c r="E2133">
        <f>C2133&lt;0.05</f>
        <v/>
      </c>
      <c r="F2133">
        <f>A2133=$B$5</f>
        <v/>
      </c>
      <c r="G2133">
        <f>IF(E2133,A2133,10^9)</f>
        <v/>
      </c>
      <c r="H2133">
        <f>IF(E2133,D2133,10^9)</f>
        <v/>
      </c>
    </row>
    <row r="2134">
      <c r="A2134" t="n">
        <v>2126</v>
      </c>
      <c r="B2134" t="n">
        <v>0</v>
      </c>
      <c r="C2134" t="n">
        <v>0</v>
      </c>
      <c r="D2134" t="n">
        <v>2332.670986889335</v>
      </c>
      <c r="E2134">
        <f>C2134&lt;0.05</f>
        <v/>
      </c>
      <c r="F2134">
        <f>A2134=$B$5</f>
        <v/>
      </c>
      <c r="G2134">
        <f>IF(E2134,A2134,10^9)</f>
        <v/>
      </c>
      <c r="H2134">
        <f>IF(E2134,D2134,10^9)</f>
        <v/>
      </c>
    </row>
    <row r="2135">
      <c r="A2135" t="n">
        <v>2127</v>
      </c>
      <c r="B2135" t="n">
        <v>0</v>
      </c>
      <c r="C2135" t="n">
        <v>0</v>
      </c>
      <c r="D2135" t="n">
        <v>2333.670986889335</v>
      </c>
      <c r="E2135">
        <f>C2135&lt;0.05</f>
        <v/>
      </c>
      <c r="F2135">
        <f>A2135=$B$5</f>
        <v/>
      </c>
      <c r="G2135">
        <f>IF(E2135,A2135,10^9)</f>
        <v/>
      </c>
      <c r="H2135">
        <f>IF(E2135,D2135,10^9)</f>
        <v/>
      </c>
    </row>
    <row r="2136">
      <c r="A2136" t="n">
        <v>2128</v>
      </c>
      <c r="B2136" t="n">
        <v>0</v>
      </c>
      <c r="C2136" t="n">
        <v>0</v>
      </c>
      <c r="D2136" t="n">
        <v>2334.670986889335</v>
      </c>
      <c r="E2136">
        <f>C2136&lt;0.05</f>
        <v/>
      </c>
      <c r="F2136">
        <f>A2136=$B$5</f>
        <v/>
      </c>
      <c r="G2136">
        <f>IF(E2136,A2136,10^9)</f>
        <v/>
      </c>
      <c r="H2136">
        <f>IF(E2136,D2136,10^9)</f>
        <v/>
      </c>
    </row>
    <row r="2137">
      <c r="A2137" t="n">
        <v>2129</v>
      </c>
      <c r="B2137" t="n">
        <v>0</v>
      </c>
      <c r="C2137" t="n">
        <v>0</v>
      </c>
      <c r="D2137" t="n">
        <v>2335.670986889335</v>
      </c>
      <c r="E2137">
        <f>C2137&lt;0.05</f>
        <v/>
      </c>
      <c r="F2137">
        <f>A2137=$B$5</f>
        <v/>
      </c>
      <c r="G2137">
        <f>IF(E2137,A2137,10^9)</f>
        <v/>
      </c>
      <c r="H2137">
        <f>IF(E2137,D2137,10^9)</f>
        <v/>
      </c>
    </row>
    <row r="2138">
      <c r="A2138" t="n">
        <v>2130</v>
      </c>
      <c r="B2138" t="n">
        <v>0</v>
      </c>
      <c r="C2138" t="n">
        <v>0</v>
      </c>
      <c r="D2138" t="n">
        <v>2336.670986889335</v>
      </c>
      <c r="E2138">
        <f>C2138&lt;0.05</f>
        <v/>
      </c>
      <c r="F2138">
        <f>A2138=$B$5</f>
        <v/>
      </c>
      <c r="G2138">
        <f>IF(E2138,A2138,10^9)</f>
        <v/>
      </c>
      <c r="H2138">
        <f>IF(E2138,D2138,10^9)</f>
        <v/>
      </c>
    </row>
    <row r="2139">
      <c r="A2139" t="n">
        <v>2131</v>
      </c>
      <c r="B2139" t="n">
        <v>0</v>
      </c>
      <c r="C2139" t="n">
        <v>0</v>
      </c>
      <c r="D2139" t="n">
        <v>2337.670986889335</v>
      </c>
      <c r="E2139">
        <f>C2139&lt;0.05</f>
        <v/>
      </c>
      <c r="F2139">
        <f>A2139=$B$5</f>
        <v/>
      </c>
      <c r="G2139">
        <f>IF(E2139,A2139,10^9)</f>
        <v/>
      </c>
      <c r="H2139">
        <f>IF(E2139,D2139,10^9)</f>
        <v/>
      </c>
    </row>
    <row r="2140">
      <c r="A2140" t="n">
        <v>2132</v>
      </c>
      <c r="B2140" t="n">
        <v>0</v>
      </c>
      <c r="C2140" t="n">
        <v>0</v>
      </c>
      <c r="D2140" t="n">
        <v>2338.670986889335</v>
      </c>
      <c r="E2140">
        <f>C2140&lt;0.05</f>
        <v/>
      </c>
      <c r="F2140">
        <f>A2140=$B$5</f>
        <v/>
      </c>
      <c r="G2140">
        <f>IF(E2140,A2140,10^9)</f>
        <v/>
      </c>
      <c r="H2140">
        <f>IF(E2140,D2140,10^9)</f>
        <v/>
      </c>
    </row>
    <row r="2141">
      <c r="A2141" t="n">
        <v>2133</v>
      </c>
      <c r="B2141" t="n">
        <v>0</v>
      </c>
      <c r="C2141" t="n">
        <v>0</v>
      </c>
      <c r="D2141" t="n">
        <v>2339.670986889335</v>
      </c>
      <c r="E2141">
        <f>C2141&lt;0.05</f>
        <v/>
      </c>
      <c r="F2141">
        <f>A2141=$B$5</f>
        <v/>
      </c>
      <c r="G2141">
        <f>IF(E2141,A2141,10^9)</f>
        <v/>
      </c>
      <c r="H2141">
        <f>IF(E2141,D2141,10^9)</f>
        <v/>
      </c>
    </row>
    <row r="2142">
      <c r="A2142" t="n">
        <v>2134</v>
      </c>
      <c r="B2142" t="n">
        <v>0</v>
      </c>
      <c r="C2142" t="n">
        <v>0</v>
      </c>
      <c r="D2142" t="n">
        <v>2340.670986889335</v>
      </c>
      <c r="E2142">
        <f>C2142&lt;0.05</f>
        <v/>
      </c>
      <c r="F2142">
        <f>A2142=$B$5</f>
        <v/>
      </c>
      <c r="G2142">
        <f>IF(E2142,A2142,10^9)</f>
        <v/>
      </c>
      <c r="H2142">
        <f>IF(E2142,D2142,10^9)</f>
        <v/>
      </c>
    </row>
    <row r="2143">
      <c r="A2143" t="n">
        <v>2135</v>
      </c>
      <c r="B2143" t="n">
        <v>0</v>
      </c>
      <c r="C2143" t="n">
        <v>0</v>
      </c>
      <c r="D2143" t="n">
        <v>2341.670986889335</v>
      </c>
      <c r="E2143">
        <f>C2143&lt;0.05</f>
        <v/>
      </c>
      <c r="F2143">
        <f>A2143=$B$5</f>
        <v/>
      </c>
      <c r="G2143">
        <f>IF(E2143,A2143,10^9)</f>
        <v/>
      </c>
      <c r="H2143">
        <f>IF(E2143,D2143,10^9)</f>
        <v/>
      </c>
    </row>
    <row r="2144">
      <c r="A2144" t="n">
        <v>2136</v>
      </c>
      <c r="B2144" t="n">
        <v>0</v>
      </c>
      <c r="C2144" t="n">
        <v>0</v>
      </c>
      <c r="D2144" t="n">
        <v>2342.670986889335</v>
      </c>
      <c r="E2144">
        <f>C2144&lt;0.05</f>
        <v/>
      </c>
      <c r="F2144">
        <f>A2144=$B$5</f>
        <v/>
      </c>
      <c r="G2144">
        <f>IF(E2144,A2144,10^9)</f>
        <v/>
      </c>
      <c r="H2144">
        <f>IF(E2144,D2144,10^9)</f>
        <v/>
      </c>
    </row>
    <row r="2145">
      <c r="A2145" t="n">
        <v>2137</v>
      </c>
      <c r="B2145" t="n">
        <v>0</v>
      </c>
      <c r="C2145" t="n">
        <v>0</v>
      </c>
      <c r="D2145" t="n">
        <v>2343.670986889335</v>
      </c>
      <c r="E2145">
        <f>C2145&lt;0.05</f>
        <v/>
      </c>
      <c r="F2145">
        <f>A2145=$B$5</f>
        <v/>
      </c>
      <c r="G2145">
        <f>IF(E2145,A2145,10^9)</f>
        <v/>
      </c>
      <c r="H2145">
        <f>IF(E2145,D2145,10^9)</f>
        <v/>
      </c>
    </row>
    <row r="2146">
      <c r="A2146" t="n">
        <v>2138</v>
      </c>
      <c r="B2146" t="n">
        <v>0</v>
      </c>
      <c r="C2146" t="n">
        <v>0</v>
      </c>
      <c r="D2146" t="n">
        <v>2344.670986889335</v>
      </c>
      <c r="E2146">
        <f>C2146&lt;0.05</f>
        <v/>
      </c>
      <c r="F2146">
        <f>A2146=$B$5</f>
        <v/>
      </c>
      <c r="G2146">
        <f>IF(E2146,A2146,10^9)</f>
        <v/>
      </c>
      <c r="H2146">
        <f>IF(E2146,D2146,10^9)</f>
        <v/>
      </c>
    </row>
    <row r="2147">
      <c r="A2147" t="n">
        <v>2139</v>
      </c>
      <c r="B2147" t="n">
        <v>0</v>
      </c>
      <c r="C2147" t="n">
        <v>0</v>
      </c>
      <c r="D2147" t="n">
        <v>2345.670986889335</v>
      </c>
      <c r="E2147">
        <f>C2147&lt;0.05</f>
        <v/>
      </c>
      <c r="F2147">
        <f>A2147=$B$5</f>
        <v/>
      </c>
      <c r="G2147">
        <f>IF(E2147,A2147,10^9)</f>
        <v/>
      </c>
      <c r="H2147">
        <f>IF(E2147,D2147,10^9)</f>
        <v/>
      </c>
    </row>
    <row r="2148">
      <c r="A2148" t="n">
        <v>2140</v>
      </c>
      <c r="B2148" t="n">
        <v>0</v>
      </c>
      <c r="C2148" t="n">
        <v>0</v>
      </c>
      <c r="D2148" t="n">
        <v>2346.670986889335</v>
      </c>
      <c r="E2148">
        <f>C2148&lt;0.05</f>
        <v/>
      </c>
      <c r="F2148">
        <f>A2148=$B$5</f>
        <v/>
      </c>
      <c r="G2148">
        <f>IF(E2148,A2148,10^9)</f>
        <v/>
      </c>
      <c r="H2148">
        <f>IF(E2148,D2148,10^9)</f>
        <v/>
      </c>
    </row>
    <row r="2149">
      <c r="A2149" t="n">
        <v>2141</v>
      </c>
      <c r="B2149" t="n">
        <v>0</v>
      </c>
      <c r="C2149" t="n">
        <v>0</v>
      </c>
      <c r="D2149" t="n">
        <v>2347.670986889335</v>
      </c>
      <c r="E2149">
        <f>C2149&lt;0.05</f>
        <v/>
      </c>
      <c r="F2149">
        <f>A2149=$B$5</f>
        <v/>
      </c>
      <c r="G2149">
        <f>IF(E2149,A2149,10^9)</f>
        <v/>
      </c>
      <c r="H2149">
        <f>IF(E2149,D2149,10^9)</f>
        <v/>
      </c>
    </row>
    <row r="2150">
      <c r="A2150" t="n">
        <v>2142</v>
      </c>
      <c r="B2150" t="n">
        <v>0</v>
      </c>
      <c r="C2150" t="n">
        <v>0</v>
      </c>
      <c r="D2150" t="n">
        <v>2348.670986889335</v>
      </c>
      <c r="E2150">
        <f>C2150&lt;0.05</f>
        <v/>
      </c>
      <c r="F2150">
        <f>A2150=$B$5</f>
        <v/>
      </c>
      <c r="G2150">
        <f>IF(E2150,A2150,10^9)</f>
        <v/>
      </c>
      <c r="H2150">
        <f>IF(E2150,D2150,10^9)</f>
        <v/>
      </c>
    </row>
    <row r="2151">
      <c r="A2151" t="n">
        <v>2143</v>
      </c>
      <c r="B2151" t="n">
        <v>0</v>
      </c>
      <c r="C2151" t="n">
        <v>0</v>
      </c>
      <c r="D2151" t="n">
        <v>2349.670986889335</v>
      </c>
      <c r="E2151">
        <f>C2151&lt;0.05</f>
        <v/>
      </c>
      <c r="F2151">
        <f>A2151=$B$5</f>
        <v/>
      </c>
      <c r="G2151">
        <f>IF(E2151,A2151,10^9)</f>
        <v/>
      </c>
      <c r="H2151">
        <f>IF(E2151,D2151,10^9)</f>
        <v/>
      </c>
    </row>
    <row r="2152">
      <c r="A2152" t="n">
        <v>2144</v>
      </c>
      <c r="B2152" t="n">
        <v>0</v>
      </c>
      <c r="C2152" t="n">
        <v>0</v>
      </c>
      <c r="D2152" t="n">
        <v>2350.670986889335</v>
      </c>
      <c r="E2152">
        <f>C2152&lt;0.05</f>
        <v/>
      </c>
      <c r="F2152">
        <f>A2152=$B$5</f>
        <v/>
      </c>
      <c r="G2152">
        <f>IF(E2152,A2152,10^9)</f>
        <v/>
      </c>
      <c r="H2152">
        <f>IF(E2152,D2152,10^9)</f>
        <v/>
      </c>
    </row>
    <row r="2153">
      <c r="A2153" t="n">
        <v>2145</v>
      </c>
      <c r="B2153" t="n">
        <v>0</v>
      </c>
      <c r="C2153" t="n">
        <v>0</v>
      </c>
      <c r="D2153" t="n">
        <v>2351.670986889335</v>
      </c>
      <c r="E2153">
        <f>C2153&lt;0.05</f>
        <v/>
      </c>
      <c r="F2153">
        <f>A2153=$B$5</f>
        <v/>
      </c>
      <c r="G2153">
        <f>IF(E2153,A2153,10^9)</f>
        <v/>
      </c>
      <c r="H2153">
        <f>IF(E2153,D2153,10^9)</f>
        <v/>
      </c>
    </row>
    <row r="2154">
      <c r="A2154" t="n">
        <v>2146</v>
      </c>
      <c r="B2154" t="n">
        <v>0</v>
      </c>
      <c r="C2154" t="n">
        <v>0</v>
      </c>
      <c r="D2154" t="n">
        <v>2352.670986889335</v>
      </c>
      <c r="E2154">
        <f>C2154&lt;0.05</f>
        <v/>
      </c>
      <c r="F2154">
        <f>A2154=$B$5</f>
        <v/>
      </c>
      <c r="G2154">
        <f>IF(E2154,A2154,10^9)</f>
        <v/>
      </c>
      <c r="H2154">
        <f>IF(E2154,D2154,10^9)</f>
        <v/>
      </c>
    </row>
    <row r="2155">
      <c r="A2155" t="n">
        <v>2147</v>
      </c>
      <c r="B2155" t="n">
        <v>0</v>
      </c>
      <c r="C2155" t="n">
        <v>0</v>
      </c>
      <c r="D2155" t="n">
        <v>2353.670986889335</v>
      </c>
      <c r="E2155">
        <f>C2155&lt;0.05</f>
        <v/>
      </c>
      <c r="F2155">
        <f>A2155=$B$5</f>
        <v/>
      </c>
      <c r="G2155">
        <f>IF(E2155,A2155,10^9)</f>
        <v/>
      </c>
      <c r="H2155">
        <f>IF(E2155,D2155,10^9)</f>
        <v/>
      </c>
    </row>
    <row r="2156">
      <c r="A2156" t="n">
        <v>2148</v>
      </c>
      <c r="B2156" t="n">
        <v>0</v>
      </c>
      <c r="C2156" t="n">
        <v>0</v>
      </c>
      <c r="D2156" t="n">
        <v>2354.670986889335</v>
      </c>
      <c r="E2156">
        <f>C2156&lt;0.05</f>
        <v/>
      </c>
      <c r="F2156">
        <f>A2156=$B$5</f>
        <v/>
      </c>
      <c r="G2156">
        <f>IF(E2156,A2156,10^9)</f>
        <v/>
      </c>
      <c r="H2156">
        <f>IF(E2156,D2156,10^9)</f>
        <v/>
      </c>
    </row>
    <row r="2157">
      <c r="A2157" t="n">
        <v>2149</v>
      </c>
      <c r="B2157" t="n">
        <v>0</v>
      </c>
      <c r="C2157" t="n">
        <v>0</v>
      </c>
      <c r="D2157" t="n">
        <v>2355.670986889335</v>
      </c>
      <c r="E2157">
        <f>C2157&lt;0.05</f>
        <v/>
      </c>
      <c r="F2157">
        <f>A2157=$B$5</f>
        <v/>
      </c>
      <c r="G2157">
        <f>IF(E2157,A2157,10^9)</f>
        <v/>
      </c>
      <c r="H2157">
        <f>IF(E2157,D2157,10^9)</f>
        <v/>
      </c>
    </row>
    <row r="2158">
      <c r="A2158" t="n">
        <v>2150</v>
      </c>
      <c r="B2158" t="n">
        <v>0</v>
      </c>
      <c r="C2158" t="n">
        <v>0</v>
      </c>
      <c r="D2158" t="n">
        <v>2356.670986889335</v>
      </c>
      <c r="E2158">
        <f>C2158&lt;0.05</f>
        <v/>
      </c>
      <c r="F2158">
        <f>A2158=$B$5</f>
        <v/>
      </c>
      <c r="G2158">
        <f>IF(E2158,A2158,10^9)</f>
        <v/>
      </c>
      <c r="H2158">
        <f>IF(E2158,D2158,10^9)</f>
        <v/>
      </c>
    </row>
    <row r="2159">
      <c r="A2159" t="n">
        <v>2151</v>
      </c>
      <c r="B2159" t="n">
        <v>0</v>
      </c>
      <c r="C2159" t="n">
        <v>0</v>
      </c>
      <c r="D2159" t="n">
        <v>2357.670986889335</v>
      </c>
      <c r="E2159">
        <f>C2159&lt;0.05</f>
        <v/>
      </c>
      <c r="F2159">
        <f>A2159=$B$5</f>
        <v/>
      </c>
      <c r="G2159">
        <f>IF(E2159,A2159,10^9)</f>
        <v/>
      </c>
      <c r="H2159">
        <f>IF(E2159,D2159,10^9)</f>
        <v/>
      </c>
    </row>
    <row r="2160">
      <c r="A2160" t="n">
        <v>2152</v>
      </c>
      <c r="B2160" t="n">
        <v>0</v>
      </c>
      <c r="C2160" t="n">
        <v>0</v>
      </c>
      <c r="D2160" t="n">
        <v>2358.670986889335</v>
      </c>
      <c r="E2160">
        <f>C2160&lt;0.05</f>
        <v/>
      </c>
      <c r="F2160">
        <f>A2160=$B$5</f>
        <v/>
      </c>
      <c r="G2160">
        <f>IF(E2160,A2160,10^9)</f>
        <v/>
      </c>
      <c r="H2160">
        <f>IF(E2160,D2160,10^9)</f>
        <v/>
      </c>
    </row>
    <row r="2161">
      <c r="A2161" t="n">
        <v>2153</v>
      </c>
      <c r="B2161" t="n">
        <v>0</v>
      </c>
      <c r="C2161" t="n">
        <v>0</v>
      </c>
      <c r="D2161" t="n">
        <v>2359.670986889335</v>
      </c>
      <c r="E2161">
        <f>C2161&lt;0.05</f>
        <v/>
      </c>
      <c r="F2161">
        <f>A2161=$B$5</f>
        <v/>
      </c>
      <c r="G2161">
        <f>IF(E2161,A2161,10^9)</f>
        <v/>
      </c>
      <c r="H2161">
        <f>IF(E2161,D2161,10^9)</f>
        <v/>
      </c>
    </row>
    <row r="2162">
      <c r="A2162" t="n">
        <v>2154</v>
      </c>
      <c r="B2162" t="n">
        <v>0</v>
      </c>
      <c r="C2162" t="n">
        <v>0</v>
      </c>
      <c r="D2162" t="n">
        <v>2360.670986889335</v>
      </c>
      <c r="E2162">
        <f>C2162&lt;0.05</f>
        <v/>
      </c>
      <c r="F2162">
        <f>A2162=$B$5</f>
        <v/>
      </c>
      <c r="G2162">
        <f>IF(E2162,A2162,10^9)</f>
        <v/>
      </c>
      <c r="H2162">
        <f>IF(E2162,D2162,10^9)</f>
        <v/>
      </c>
    </row>
    <row r="2163">
      <c r="A2163" t="n">
        <v>2155</v>
      </c>
      <c r="B2163" t="n">
        <v>0</v>
      </c>
      <c r="C2163" t="n">
        <v>0</v>
      </c>
      <c r="D2163" t="n">
        <v>2361.670986889335</v>
      </c>
      <c r="E2163">
        <f>C2163&lt;0.05</f>
        <v/>
      </c>
      <c r="F2163">
        <f>A2163=$B$5</f>
        <v/>
      </c>
      <c r="G2163">
        <f>IF(E2163,A2163,10^9)</f>
        <v/>
      </c>
      <c r="H2163">
        <f>IF(E2163,D2163,10^9)</f>
        <v/>
      </c>
    </row>
    <row r="2164">
      <c r="A2164" t="n">
        <v>2156</v>
      </c>
      <c r="B2164" t="n">
        <v>0</v>
      </c>
      <c r="C2164" t="n">
        <v>0</v>
      </c>
      <c r="D2164" t="n">
        <v>2362.670986889335</v>
      </c>
      <c r="E2164">
        <f>C2164&lt;0.05</f>
        <v/>
      </c>
      <c r="F2164">
        <f>A2164=$B$5</f>
        <v/>
      </c>
      <c r="G2164">
        <f>IF(E2164,A2164,10^9)</f>
        <v/>
      </c>
      <c r="H2164">
        <f>IF(E2164,D2164,10^9)</f>
        <v/>
      </c>
    </row>
    <row r="2165">
      <c r="A2165" t="n">
        <v>2157</v>
      </c>
      <c r="B2165" t="n">
        <v>0</v>
      </c>
      <c r="C2165" t="n">
        <v>0</v>
      </c>
      <c r="D2165" t="n">
        <v>2363.670986889335</v>
      </c>
      <c r="E2165">
        <f>C2165&lt;0.05</f>
        <v/>
      </c>
      <c r="F2165">
        <f>A2165=$B$5</f>
        <v/>
      </c>
      <c r="G2165">
        <f>IF(E2165,A2165,10^9)</f>
        <v/>
      </c>
      <c r="H2165">
        <f>IF(E2165,D2165,10^9)</f>
        <v/>
      </c>
    </row>
    <row r="2166">
      <c r="A2166" t="n">
        <v>2158</v>
      </c>
      <c r="B2166" t="n">
        <v>0</v>
      </c>
      <c r="C2166" t="n">
        <v>0</v>
      </c>
      <c r="D2166" t="n">
        <v>2364.670986889335</v>
      </c>
      <c r="E2166">
        <f>C2166&lt;0.05</f>
        <v/>
      </c>
      <c r="F2166">
        <f>A2166=$B$5</f>
        <v/>
      </c>
      <c r="G2166">
        <f>IF(E2166,A2166,10^9)</f>
        <v/>
      </c>
      <c r="H2166">
        <f>IF(E2166,D2166,10^9)</f>
        <v/>
      </c>
    </row>
    <row r="2167">
      <c r="A2167" t="n">
        <v>2159</v>
      </c>
      <c r="B2167" t="n">
        <v>0</v>
      </c>
      <c r="C2167" t="n">
        <v>0</v>
      </c>
      <c r="D2167" t="n">
        <v>2365.670986889335</v>
      </c>
      <c r="E2167">
        <f>C2167&lt;0.05</f>
        <v/>
      </c>
      <c r="F2167">
        <f>A2167=$B$5</f>
        <v/>
      </c>
      <c r="G2167">
        <f>IF(E2167,A2167,10^9)</f>
        <v/>
      </c>
      <c r="H2167">
        <f>IF(E2167,D2167,10^9)</f>
        <v/>
      </c>
    </row>
    <row r="2168">
      <c r="A2168" t="n">
        <v>2160</v>
      </c>
      <c r="B2168" t="n">
        <v>0</v>
      </c>
      <c r="C2168" t="n">
        <v>0</v>
      </c>
      <c r="D2168" t="n">
        <v>2366.670986889335</v>
      </c>
      <c r="E2168">
        <f>C2168&lt;0.05</f>
        <v/>
      </c>
      <c r="F2168">
        <f>A2168=$B$5</f>
        <v/>
      </c>
      <c r="G2168">
        <f>IF(E2168,A2168,10^9)</f>
        <v/>
      </c>
      <c r="H2168">
        <f>IF(E2168,D2168,10^9)</f>
        <v/>
      </c>
    </row>
    <row r="2169">
      <c r="A2169" t="n">
        <v>2161</v>
      </c>
      <c r="B2169" t="n">
        <v>0</v>
      </c>
      <c r="C2169" t="n">
        <v>0</v>
      </c>
      <c r="D2169" t="n">
        <v>2367.670986889335</v>
      </c>
      <c r="E2169">
        <f>C2169&lt;0.05</f>
        <v/>
      </c>
      <c r="F2169">
        <f>A2169=$B$5</f>
        <v/>
      </c>
      <c r="G2169">
        <f>IF(E2169,A2169,10^9)</f>
        <v/>
      </c>
      <c r="H2169">
        <f>IF(E2169,D2169,10^9)</f>
        <v/>
      </c>
    </row>
    <row r="2170">
      <c r="A2170" t="n">
        <v>2162</v>
      </c>
      <c r="B2170" t="n">
        <v>0</v>
      </c>
      <c r="C2170" t="n">
        <v>0</v>
      </c>
      <c r="D2170" t="n">
        <v>2368.670986889335</v>
      </c>
      <c r="E2170">
        <f>C2170&lt;0.05</f>
        <v/>
      </c>
      <c r="F2170">
        <f>A2170=$B$5</f>
        <v/>
      </c>
      <c r="G2170">
        <f>IF(E2170,A2170,10^9)</f>
        <v/>
      </c>
      <c r="H2170">
        <f>IF(E2170,D2170,10^9)</f>
        <v/>
      </c>
    </row>
    <row r="2171">
      <c r="A2171" t="n">
        <v>2163</v>
      </c>
      <c r="B2171" t="n">
        <v>0</v>
      </c>
      <c r="C2171" t="n">
        <v>0</v>
      </c>
      <c r="D2171" t="n">
        <v>2369.670986889335</v>
      </c>
      <c r="E2171">
        <f>C2171&lt;0.05</f>
        <v/>
      </c>
      <c r="F2171">
        <f>A2171=$B$5</f>
        <v/>
      </c>
      <c r="G2171">
        <f>IF(E2171,A2171,10^9)</f>
        <v/>
      </c>
      <c r="H2171">
        <f>IF(E2171,D2171,10^9)</f>
        <v/>
      </c>
    </row>
    <row r="2172">
      <c r="A2172" t="n">
        <v>2164</v>
      </c>
      <c r="B2172" t="n">
        <v>0</v>
      </c>
      <c r="C2172" t="n">
        <v>0</v>
      </c>
      <c r="D2172" t="n">
        <v>2370.670986889335</v>
      </c>
      <c r="E2172">
        <f>C2172&lt;0.05</f>
        <v/>
      </c>
      <c r="F2172">
        <f>A2172=$B$5</f>
        <v/>
      </c>
      <c r="G2172">
        <f>IF(E2172,A2172,10^9)</f>
        <v/>
      </c>
      <c r="H2172">
        <f>IF(E2172,D2172,10^9)</f>
        <v/>
      </c>
    </row>
    <row r="2173">
      <c r="A2173" t="n">
        <v>2165</v>
      </c>
      <c r="B2173" t="n">
        <v>0</v>
      </c>
      <c r="C2173" t="n">
        <v>0</v>
      </c>
      <c r="D2173" t="n">
        <v>2371.670986889335</v>
      </c>
      <c r="E2173">
        <f>C2173&lt;0.05</f>
        <v/>
      </c>
      <c r="F2173">
        <f>A2173=$B$5</f>
        <v/>
      </c>
      <c r="G2173">
        <f>IF(E2173,A2173,10^9)</f>
        <v/>
      </c>
      <c r="H2173">
        <f>IF(E2173,D2173,10^9)</f>
        <v/>
      </c>
    </row>
    <row r="2174">
      <c r="A2174" t="n">
        <v>2166</v>
      </c>
      <c r="B2174" t="n">
        <v>0</v>
      </c>
      <c r="C2174" t="n">
        <v>0</v>
      </c>
      <c r="D2174" t="n">
        <v>2372.670986889335</v>
      </c>
      <c r="E2174">
        <f>C2174&lt;0.05</f>
        <v/>
      </c>
      <c r="F2174">
        <f>A2174=$B$5</f>
        <v/>
      </c>
      <c r="G2174">
        <f>IF(E2174,A2174,10^9)</f>
        <v/>
      </c>
      <c r="H2174">
        <f>IF(E2174,D2174,10^9)</f>
        <v/>
      </c>
    </row>
    <row r="2175">
      <c r="A2175" t="n">
        <v>2167</v>
      </c>
      <c r="B2175" t="n">
        <v>0</v>
      </c>
      <c r="C2175" t="n">
        <v>0</v>
      </c>
      <c r="D2175" t="n">
        <v>2373.670986889335</v>
      </c>
      <c r="E2175">
        <f>C2175&lt;0.05</f>
        <v/>
      </c>
      <c r="F2175">
        <f>A2175=$B$5</f>
        <v/>
      </c>
      <c r="G2175">
        <f>IF(E2175,A2175,10^9)</f>
        <v/>
      </c>
      <c r="H2175">
        <f>IF(E2175,D2175,10^9)</f>
        <v/>
      </c>
    </row>
    <row r="2176">
      <c r="A2176" t="n">
        <v>2168</v>
      </c>
      <c r="B2176" t="n">
        <v>0</v>
      </c>
      <c r="C2176" t="n">
        <v>0</v>
      </c>
      <c r="D2176" t="n">
        <v>2374.670986889335</v>
      </c>
      <c r="E2176">
        <f>C2176&lt;0.05</f>
        <v/>
      </c>
      <c r="F2176">
        <f>A2176=$B$5</f>
        <v/>
      </c>
      <c r="G2176">
        <f>IF(E2176,A2176,10^9)</f>
        <v/>
      </c>
      <c r="H2176">
        <f>IF(E2176,D2176,10^9)</f>
        <v/>
      </c>
    </row>
    <row r="2177">
      <c r="A2177" t="n">
        <v>2169</v>
      </c>
      <c r="B2177" t="n">
        <v>0</v>
      </c>
      <c r="C2177" t="n">
        <v>0</v>
      </c>
      <c r="D2177" t="n">
        <v>2375.670986889335</v>
      </c>
      <c r="E2177">
        <f>C2177&lt;0.05</f>
        <v/>
      </c>
      <c r="F2177">
        <f>A2177=$B$5</f>
        <v/>
      </c>
      <c r="G2177">
        <f>IF(E2177,A2177,10^9)</f>
        <v/>
      </c>
      <c r="H2177">
        <f>IF(E2177,D2177,10^9)</f>
        <v/>
      </c>
    </row>
    <row r="2178">
      <c r="A2178" t="n">
        <v>2170</v>
      </c>
      <c r="B2178" t="n">
        <v>0</v>
      </c>
      <c r="C2178" t="n">
        <v>0</v>
      </c>
      <c r="D2178" t="n">
        <v>2376.670986889335</v>
      </c>
      <c r="E2178">
        <f>C2178&lt;0.05</f>
        <v/>
      </c>
      <c r="F2178">
        <f>A2178=$B$5</f>
        <v/>
      </c>
      <c r="G2178">
        <f>IF(E2178,A2178,10^9)</f>
        <v/>
      </c>
      <c r="H2178">
        <f>IF(E2178,D2178,10^9)</f>
        <v/>
      </c>
    </row>
    <row r="2179">
      <c r="A2179" t="n">
        <v>2171</v>
      </c>
      <c r="B2179" t="n">
        <v>0</v>
      </c>
      <c r="C2179" t="n">
        <v>0</v>
      </c>
      <c r="D2179" t="n">
        <v>2377.670986889335</v>
      </c>
      <c r="E2179">
        <f>C2179&lt;0.05</f>
        <v/>
      </c>
      <c r="F2179">
        <f>A2179=$B$5</f>
        <v/>
      </c>
      <c r="G2179">
        <f>IF(E2179,A2179,10^9)</f>
        <v/>
      </c>
      <c r="H2179">
        <f>IF(E2179,D2179,10^9)</f>
        <v/>
      </c>
    </row>
    <row r="2180">
      <c r="A2180" t="n">
        <v>2172</v>
      </c>
      <c r="B2180" t="n">
        <v>0</v>
      </c>
      <c r="C2180" t="n">
        <v>0</v>
      </c>
      <c r="D2180" t="n">
        <v>2378.670986889335</v>
      </c>
      <c r="E2180">
        <f>C2180&lt;0.05</f>
        <v/>
      </c>
      <c r="F2180">
        <f>A2180=$B$5</f>
        <v/>
      </c>
      <c r="G2180">
        <f>IF(E2180,A2180,10^9)</f>
        <v/>
      </c>
      <c r="H2180">
        <f>IF(E2180,D2180,10^9)</f>
        <v/>
      </c>
    </row>
    <row r="2181">
      <c r="A2181" t="n">
        <v>2173</v>
      </c>
      <c r="B2181" t="n">
        <v>0</v>
      </c>
      <c r="C2181" t="n">
        <v>0</v>
      </c>
      <c r="D2181" t="n">
        <v>2379.670986889335</v>
      </c>
      <c r="E2181">
        <f>C2181&lt;0.05</f>
        <v/>
      </c>
      <c r="F2181">
        <f>A2181=$B$5</f>
        <v/>
      </c>
      <c r="G2181">
        <f>IF(E2181,A2181,10^9)</f>
        <v/>
      </c>
      <c r="H2181">
        <f>IF(E2181,D2181,10^9)</f>
        <v/>
      </c>
    </row>
    <row r="2182">
      <c r="A2182" t="n">
        <v>2174</v>
      </c>
      <c r="B2182" t="n">
        <v>0</v>
      </c>
      <c r="C2182" t="n">
        <v>0</v>
      </c>
      <c r="D2182" t="n">
        <v>2380.670986889335</v>
      </c>
      <c r="E2182">
        <f>C2182&lt;0.05</f>
        <v/>
      </c>
      <c r="F2182">
        <f>A2182=$B$5</f>
        <v/>
      </c>
      <c r="G2182">
        <f>IF(E2182,A2182,10^9)</f>
        <v/>
      </c>
      <c r="H2182">
        <f>IF(E2182,D2182,10^9)</f>
        <v/>
      </c>
    </row>
    <row r="2183">
      <c r="A2183" t="n">
        <v>2175</v>
      </c>
      <c r="B2183" t="n">
        <v>0</v>
      </c>
      <c r="C2183" t="n">
        <v>0</v>
      </c>
      <c r="D2183" t="n">
        <v>2381.670986889335</v>
      </c>
      <c r="E2183">
        <f>C2183&lt;0.05</f>
        <v/>
      </c>
      <c r="F2183">
        <f>A2183=$B$5</f>
        <v/>
      </c>
      <c r="G2183">
        <f>IF(E2183,A2183,10^9)</f>
        <v/>
      </c>
      <c r="H2183">
        <f>IF(E2183,D2183,10^9)</f>
        <v/>
      </c>
    </row>
    <row r="2184">
      <c r="A2184" t="n">
        <v>2176</v>
      </c>
      <c r="B2184" t="n">
        <v>0</v>
      </c>
      <c r="C2184" t="n">
        <v>0</v>
      </c>
      <c r="D2184" t="n">
        <v>2382.670986889335</v>
      </c>
      <c r="E2184">
        <f>C2184&lt;0.05</f>
        <v/>
      </c>
      <c r="F2184">
        <f>A2184=$B$5</f>
        <v/>
      </c>
      <c r="G2184">
        <f>IF(E2184,A2184,10^9)</f>
        <v/>
      </c>
      <c r="H2184">
        <f>IF(E2184,D2184,10^9)</f>
        <v/>
      </c>
    </row>
    <row r="2185">
      <c r="A2185" t="n">
        <v>2177</v>
      </c>
      <c r="B2185" t="n">
        <v>0</v>
      </c>
      <c r="C2185" t="n">
        <v>0</v>
      </c>
      <c r="D2185" t="n">
        <v>2383.670986889335</v>
      </c>
      <c r="E2185">
        <f>C2185&lt;0.05</f>
        <v/>
      </c>
      <c r="F2185">
        <f>A2185=$B$5</f>
        <v/>
      </c>
      <c r="G2185">
        <f>IF(E2185,A2185,10^9)</f>
        <v/>
      </c>
      <c r="H2185">
        <f>IF(E2185,D2185,10^9)</f>
        <v/>
      </c>
    </row>
    <row r="2186">
      <c r="A2186" t="n">
        <v>2178</v>
      </c>
      <c r="B2186" t="n">
        <v>0</v>
      </c>
      <c r="C2186" t="n">
        <v>0</v>
      </c>
      <c r="D2186" t="n">
        <v>2384.670986889335</v>
      </c>
      <c r="E2186">
        <f>C2186&lt;0.05</f>
        <v/>
      </c>
      <c r="F2186">
        <f>A2186=$B$5</f>
        <v/>
      </c>
      <c r="G2186">
        <f>IF(E2186,A2186,10^9)</f>
        <v/>
      </c>
      <c r="H2186">
        <f>IF(E2186,D2186,10^9)</f>
        <v/>
      </c>
    </row>
    <row r="2187">
      <c r="A2187" t="n">
        <v>2179</v>
      </c>
      <c r="B2187" t="n">
        <v>0</v>
      </c>
      <c r="C2187" t="n">
        <v>0</v>
      </c>
      <c r="D2187" t="n">
        <v>2385.670986889335</v>
      </c>
      <c r="E2187">
        <f>C2187&lt;0.05</f>
        <v/>
      </c>
      <c r="F2187">
        <f>A2187=$B$5</f>
        <v/>
      </c>
      <c r="G2187">
        <f>IF(E2187,A2187,10^9)</f>
        <v/>
      </c>
      <c r="H2187">
        <f>IF(E2187,D2187,10^9)</f>
        <v/>
      </c>
    </row>
    <row r="2188">
      <c r="A2188" t="n">
        <v>2180</v>
      </c>
      <c r="B2188" t="n">
        <v>0</v>
      </c>
      <c r="C2188" t="n">
        <v>0</v>
      </c>
      <c r="D2188" t="n">
        <v>2386.670986889335</v>
      </c>
      <c r="E2188">
        <f>C2188&lt;0.05</f>
        <v/>
      </c>
      <c r="F2188">
        <f>A2188=$B$5</f>
        <v/>
      </c>
      <c r="G2188">
        <f>IF(E2188,A2188,10^9)</f>
        <v/>
      </c>
      <c r="H2188">
        <f>IF(E2188,D2188,10^9)</f>
        <v/>
      </c>
    </row>
    <row r="2189">
      <c r="A2189" t="n">
        <v>2181</v>
      </c>
      <c r="B2189" t="n">
        <v>0</v>
      </c>
      <c r="C2189" t="n">
        <v>0</v>
      </c>
      <c r="D2189" t="n">
        <v>2387.670986889335</v>
      </c>
      <c r="E2189">
        <f>C2189&lt;0.05</f>
        <v/>
      </c>
      <c r="F2189">
        <f>A2189=$B$5</f>
        <v/>
      </c>
      <c r="G2189">
        <f>IF(E2189,A2189,10^9)</f>
        <v/>
      </c>
      <c r="H2189">
        <f>IF(E2189,D2189,10^9)</f>
        <v/>
      </c>
    </row>
    <row r="2190">
      <c r="A2190" t="n">
        <v>2182</v>
      </c>
      <c r="B2190" t="n">
        <v>0</v>
      </c>
      <c r="C2190" t="n">
        <v>0</v>
      </c>
      <c r="D2190" t="n">
        <v>2388.670986889335</v>
      </c>
      <c r="E2190">
        <f>C2190&lt;0.05</f>
        <v/>
      </c>
      <c r="F2190">
        <f>A2190=$B$5</f>
        <v/>
      </c>
      <c r="G2190">
        <f>IF(E2190,A2190,10^9)</f>
        <v/>
      </c>
      <c r="H2190">
        <f>IF(E2190,D2190,10^9)</f>
        <v/>
      </c>
    </row>
    <row r="2191">
      <c r="A2191" t="n">
        <v>2183</v>
      </c>
      <c r="B2191" t="n">
        <v>0</v>
      </c>
      <c r="C2191" t="n">
        <v>0</v>
      </c>
      <c r="D2191" t="n">
        <v>2389.670986889335</v>
      </c>
      <c r="E2191">
        <f>C2191&lt;0.05</f>
        <v/>
      </c>
      <c r="F2191">
        <f>A2191=$B$5</f>
        <v/>
      </c>
      <c r="G2191">
        <f>IF(E2191,A2191,10^9)</f>
        <v/>
      </c>
      <c r="H2191">
        <f>IF(E2191,D2191,10^9)</f>
        <v/>
      </c>
    </row>
    <row r="2192">
      <c r="A2192" t="n">
        <v>2184</v>
      </c>
      <c r="B2192" t="n">
        <v>0</v>
      </c>
      <c r="C2192" t="n">
        <v>0</v>
      </c>
      <c r="D2192" t="n">
        <v>2390.670986889335</v>
      </c>
      <c r="E2192">
        <f>C2192&lt;0.05</f>
        <v/>
      </c>
      <c r="F2192">
        <f>A2192=$B$5</f>
        <v/>
      </c>
      <c r="G2192">
        <f>IF(E2192,A2192,10^9)</f>
        <v/>
      </c>
      <c r="H2192">
        <f>IF(E2192,D2192,10^9)</f>
        <v/>
      </c>
    </row>
    <row r="2193">
      <c r="A2193" t="n">
        <v>2185</v>
      </c>
      <c r="B2193" t="n">
        <v>0</v>
      </c>
      <c r="C2193" t="n">
        <v>0</v>
      </c>
      <c r="D2193" t="n">
        <v>2391.670986889335</v>
      </c>
      <c r="E2193">
        <f>C2193&lt;0.05</f>
        <v/>
      </c>
      <c r="F2193">
        <f>A2193=$B$5</f>
        <v/>
      </c>
      <c r="G2193">
        <f>IF(E2193,A2193,10^9)</f>
        <v/>
      </c>
      <c r="H2193">
        <f>IF(E2193,D2193,10^9)</f>
        <v/>
      </c>
    </row>
    <row r="2194">
      <c r="A2194" t="n">
        <v>2186</v>
      </c>
      <c r="B2194" t="n">
        <v>0</v>
      </c>
      <c r="C2194" t="n">
        <v>0</v>
      </c>
      <c r="D2194" t="n">
        <v>2392.670986889335</v>
      </c>
      <c r="E2194">
        <f>C2194&lt;0.05</f>
        <v/>
      </c>
      <c r="F2194">
        <f>A2194=$B$5</f>
        <v/>
      </c>
      <c r="G2194">
        <f>IF(E2194,A2194,10^9)</f>
        <v/>
      </c>
      <c r="H2194">
        <f>IF(E2194,D2194,10^9)</f>
        <v/>
      </c>
    </row>
    <row r="2195">
      <c r="A2195" t="n">
        <v>2187</v>
      </c>
      <c r="B2195" t="n">
        <v>0</v>
      </c>
      <c r="C2195" t="n">
        <v>0</v>
      </c>
      <c r="D2195" t="n">
        <v>2393.670986889335</v>
      </c>
      <c r="E2195">
        <f>C2195&lt;0.05</f>
        <v/>
      </c>
      <c r="F2195">
        <f>A2195=$B$5</f>
        <v/>
      </c>
      <c r="G2195">
        <f>IF(E2195,A2195,10^9)</f>
        <v/>
      </c>
      <c r="H2195">
        <f>IF(E2195,D2195,10^9)</f>
        <v/>
      </c>
    </row>
    <row r="2196">
      <c r="A2196" t="n">
        <v>2188</v>
      </c>
      <c r="B2196" t="n">
        <v>0</v>
      </c>
      <c r="C2196" t="n">
        <v>0</v>
      </c>
      <c r="D2196" t="n">
        <v>2394.670986889335</v>
      </c>
      <c r="E2196">
        <f>C2196&lt;0.05</f>
        <v/>
      </c>
      <c r="F2196">
        <f>A2196=$B$5</f>
        <v/>
      </c>
      <c r="G2196">
        <f>IF(E2196,A2196,10^9)</f>
        <v/>
      </c>
      <c r="H2196">
        <f>IF(E2196,D2196,10^9)</f>
        <v/>
      </c>
    </row>
    <row r="2197">
      <c r="A2197" t="n">
        <v>2189</v>
      </c>
      <c r="B2197" t="n">
        <v>0</v>
      </c>
      <c r="C2197" t="n">
        <v>0</v>
      </c>
      <c r="D2197" t="n">
        <v>2395.670986889335</v>
      </c>
      <c r="E2197">
        <f>C2197&lt;0.05</f>
        <v/>
      </c>
      <c r="F2197">
        <f>A2197=$B$5</f>
        <v/>
      </c>
      <c r="G2197">
        <f>IF(E2197,A2197,10^9)</f>
        <v/>
      </c>
      <c r="H2197">
        <f>IF(E2197,D2197,10^9)</f>
        <v/>
      </c>
    </row>
    <row r="2198">
      <c r="A2198" t="n">
        <v>2190</v>
      </c>
      <c r="B2198" t="n">
        <v>0</v>
      </c>
      <c r="C2198" t="n">
        <v>0</v>
      </c>
      <c r="D2198" t="n">
        <v>2396.670986889335</v>
      </c>
      <c r="E2198">
        <f>C2198&lt;0.05</f>
        <v/>
      </c>
      <c r="F2198">
        <f>A2198=$B$5</f>
        <v/>
      </c>
      <c r="G2198">
        <f>IF(E2198,A2198,10^9)</f>
        <v/>
      </c>
      <c r="H2198">
        <f>IF(E2198,D2198,10^9)</f>
        <v/>
      </c>
    </row>
    <row r="2199">
      <c r="A2199" t="n">
        <v>2191</v>
      </c>
      <c r="B2199" t="n">
        <v>0</v>
      </c>
      <c r="C2199" t="n">
        <v>0</v>
      </c>
      <c r="D2199" t="n">
        <v>2397.670986889335</v>
      </c>
      <c r="E2199">
        <f>C2199&lt;0.05</f>
        <v/>
      </c>
      <c r="F2199">
        <f>A2199=$B$5</f>
        <v/>
      </c>
      <c r="G2199">
        <f>IF(E2199,A2199,10^9)</f>
        <v/>
      </c>
      <c r="H2199">
        <f>IF(E2199,D2199,10^9)</f>
        <v/>
      </c>
    </row>
    <row r="2200">
      <c r="A2200" t="n">
        <v>2192</v>
      </c>
      <c r="B2200" t="n">
        <v>0</v>
      </c>
      <c r="C2200" t="n">
        <v>0</v>
      </c>
      <c r="D2200" t="n">
        <v>2398.670986889335</v>
      </c>
      <c r="E2200">
        <f>C2200&lt;0.05</f>
        <v/>
      </c>
      <c r="F2200">
        <f>A2200=$B$5</f>
        <v/>
      </c>
      <c r="G2200">
        <f>IF(E2200,A2200,10^9)</f>
        <v/>
      </c>
      <c r="H2200">
        <f>IF(E2200,D2200,10^9)</f>
        <v/>
      </c>
    </row>
    <row r="2201">
      <c r="A2201" t="n">
        <v>2193</v>
      </c>
      <c r="B2201" t="n">
        <v>0</v>
      </c>
      <c r="C2201" t="n">
        <v>0</v>
      </c>
      <c r="D2201" t="n">
        <v>2399.670986889335</v>
      </c>
      <c r="E2201">
        <f>C2201&lt;0.05</f>
        <v/>
      </c>
      <c r="F2201">
        <f>A2201=$B$5</f>
        <v/>
      </c>
      <c r="G2201">
        <f>IF(E2201,A2201,10^9)</f>
        <v/>
      </c>
      <c r="H2201">
        <f>IF(E2201,D2201,10^9)</f>
        <v/>
      </c>
    </row>
    <row r="2202">
      <c r="A2202" t="n">
        <v>2194</v>
      </c>
      <c r="B2202" t="n">
        <v>0</v>
      </c>
      <c r="C2202" t="n">
        <v>0</v>
      </c>
      <c r="D2202" t="n">
        <v>2400.670986889335</v>
      </c>
      <c r="E2202">
        <f>C2202&lt;0.05</f>
        <v/>
      </c>
      <c r="F2202">
        <f>A2202=$B$5</f>
        <v/>
      </c>
      <c r="G2202">
        <f>IF(E2202,A2202,10^9)</f>
        <v/>
      </c>
      <c r="H2202">
        <f>IF(E2202,D2202,10^9)</f>
        <v/>
      </c>
    </row>
    <row r="2203">
      <c r="A2203" t="n">
        <v>2195</v>
      </c>
      <c r="B2203" t="n">
        <v>0</v>
      </c>
      <c r="C2203" t="n">
        <v>0</v>
      </c>
      <c r="D2203" t="n">
        <v>2401.670986889335</v>
      </c>
      <c r="E2203">
        <f>C2203&lt;0.05</f>
        <v/>
      </c>
      <c r="F2203">
        <f>A2203=$B$5</f>
        <v/>
      </c>
      <c r="G2203">
        <f>IF(E2203,A2203,10^9)</f>
        <v/>
      </c>
      <c r="H2203">
        <f>IF(E2203,D2203,10^9)</f>
        <v/>
      </c>
    </row>
    <row r="2204">
      <c r="A2204" t="n">
        <v>2196</v>
      </c>
      <c r="B2204" t="n">
        <v>0</v>
      </c>
      <c r="C2204" t="n">
        <v>0</v>
      </c>
      <c r="D2204" t="n">
        <v>2402.670986889335</v>
      </c>
      <c r="E2204">
        <f>C2204&lt;0.05</f>
        <v/>
      </c>
      <c r="F2204">
        <f>A2204=$B$5</f>
        <v/>
      </c>
      <c r="G2204">
        <f>IF(E2204,A2204,10^9)</f>
        <v/>
      </c>
      <c r="H2204">
        <f>IF(E2204,D2204,10^9)</f>
        <v/>
      </c>
    </row>
    <row r="2205">
      <c r="A2205" t="n">
        <v>2197</v>
      </c>
      <c r="B2205" t="n">
        <v>0</v>
      </c>
      <c r="C2205" t="n">
        <v>0</v>
      </c>
      <c r="D2205" t="n">
        <v>2403.670986889335</v>
      </c>
      <c r="E2205">
        <f>C2205&lt;0.05</f>
        <v/>
      </c>
      <c r="F2205">
        <f>A2205=$B$5</f>
        <v/>
      </c>
      <c r="G2205">
        <f>IF(E2205,A2205,10^9)</f>
        <v/>
      </c>
      <c r="H2205">
        <f>IF(E2205,D2205,10^9)</f>
        <v/>
      </c>
    </row>
    <row r="2206">
      <c r="A2206" t="n">
        <v>2198</v>
      </c>
      <c r="B2206" t="n">
        <v>0</v>
      </c>
      <c r="C2206" t="n">
        <v>0</v>
      </c>
      <c r="D2206" t="n">
        <v>2404.670986889335</v>
      </c>
      <c r="E2206">
        <f>C2206&lt;0.05</f>
        <v/>
      </c>
      <c r="F2206">
        <f>A2206=$B$5</f>
        <v/>
      </c>
      <c r="G2206">
        <f>IF(E2206,A2206,10^9)</f>
        <v/>
      </c>
      <c r="H2206">
        <f>IF(E2206,D2206,10^9)</f>
        <v/>
      </c>
    </row>
    <row r="2207">
      <c r="A2207" t="n">
        <v>2199</v>
      </c>
      <c r="B2207" t="n">
        <v>0</v>
      </c>
      <c r="C2207" t="n">
        <v>0</v>
      </c>
      <c r="D2207" t="n">
        <v>2405.670986889335</v>
      </c>
      <c r="E2207">
        <f>C2207&lt;0.05</f>
        <v/>
      </c>
      <c r="F2207">
        <f>A2207=$B$5</f>
        <v/>
      </c>
      <c r="G2207">
        <f>IF(E2207,A2207,10^9)</f>
        <v/>
      </c>
      <c r="H2207">
        <f>IF(E2207,D2207,10^9)</f>
        <v/>
      </c>
    </row>
    <row r="2208">
      <c r="A2208" t="n">
        <v>2200</v>
      </c>
      <c r="B2208" t="n">
        <v>0</v>
      </c>
      <c r="C2208" t="n">
        <v>0</v>
      </c>
      <c r="D2208" t="n">
        <v>2406.670986889335</v>
      </c>
      <c r="E2208">
        <f>C2208&lt;0.05</f>
        <v/>
      </c>
      <c r="F2208">
        <f>A2208=$B$5</f>
        <v/>
      </c>
      <c r="G2208">
        <f>IF(E2208,A2208,10^9)</f>
        <v/>
      </c>
      <c r="H2208">
        <f>IF(E2208,D2208,10^9)</f>
        <v/>
      </c>
    </row>
    <row r="2209">
      <c r="A2209" t="n">
        <v>2201</v>
      </c>
      <c r="B2209" t="n">
        <v>0</v>
      </c>
      <c r="C2209" t="n">
        <v>0</v>
      </c>
      <c r="D2209" t="n">
        <v>2407.670986889335</v>
      </c>
      <c r="E2209">
        <f>C2209&lt;0.05</f>
        <v/>
      </c>
      <c r="F2209">
        <f>A2209=$B$5</f>
        <v/>
      </c>
      <c r="G2209">
        <f>IF(E2209,A2209,10^9)</f>
        <v/>
      </c>
      <c r="H2209">
        <f>IF(E2209,D2209,10^9)</f>
        <v/>
      </c>
    </row>
    <row r="2210">
      <c r="A2210" t="n">
        <v>2202</v>
      </c>
      <c r="B2210" t="n">
        <v>0</v>
      </c>
      <c r="C2210" t="n">
        <v>0</v>
      </c>
      <c r="D2210" t="n">
        <v>2408.670986889335</v>
      </c>
      <c r="E2210">
        <f>C2210&lt;0.05</f>
        <v/>
      </c>
      <c r="F2210">
        <f>A2210=$B$5</f>
        <v/>
      </c>
      <c r="G2210">
        <f>IF(E2210,A2210,10^9)</f>
        <v/>
      </c>
      <c r="H2210">
        <f>IF(E2210,D2210,10^9)</f>
        <v/>
      </c>
    </row>
    <row r="2211">
      <c r="A2211" t="n">
        <v>2203</v>
      </c>
      <c r="B2211" t="n">
        <v>0</v>
      </c>
      <c r="C2211" t="n">
        <v>0</v>
      </c>
      <c r="D2211" t="n">
        <v>2409.670986889335</v>
      </c>
      <c r="E2211">
        <f>C2211&lt;0.05</f>
        <v/>
      </c>
      <c r="F2211">
        <f>A2211=$B$5</f>
        <v/>
      </c>
      <c r="G2211">
        <f>IF(E2211,A2211,10^9)</f>
        <v/>
      </c>
      <c r="H2211">
        <f>IF(E2211,D2211,10^9)</f>
        <v/>
      </c>
    </row>
    <row r="2212">
      <c r="A2212" t="n">
        <v>2204</v>
      </c>
      <c r="B2212" t="n">
        <v>0</v>
      </c>
      <c r="C2212" t="n">
        <v>0</v>
      </c>
      <c r="D2212" t="n">
        <v>2410.670986889335</v>
      </c>
      <c r="E2212">
        <f>C2212&lt;0.05</f>
        <v/>
      </c>
      <c r="F2212">
        <f>A2212=$B$5</f>
        <v/>
      </c>
      <c r="G2212">
        <f>IF(E2212,A2212,10^9)</f>
        <v/>
      </c>
      <c r="H2212">
        <f>IF(E2212,D2212,10^9)</f>
        <v/>
      </c>
    </row>
    <row r="2213">
      <c r="A2213" t="n">
        <v>2205</v>
      </c>
      <c r="B2213" t="n">
        <v>0</v>
      </c>
      <c r="C2213" t="n">
        <v>0</v>
      </c>
      <c r="D2213" t="n">
        <v>2411.670986889335</v>
      </c>
      <c r="E2213">
        <f>C2213&lt;0.05</f>
        <v/>
      </c>
      <c r="F2213">
        <f>A2213=$B$5</f>
        <v/>
      </c>
      <c r="G2213">
        <f>IF(E2213,A2213,10^9)</f>
        <v/>
      </c>
      <c r="H2213">
        <f>IF(E2213,D2213,10^9)</f>
        <v/>
      </c>
    </row>
    <row r="2214">
      <c r="A2214" t="n">
        <v>2206</v>
      </c>
      <c r="B2214" t="n">
        <v>0</v>
      </c>
      <c r="C2214" t="n">
        <v>0</v>
      </c>
      <c r="D2214" t="n">
        <v>2412.670986889335</v>
      </c>
      <c r="E2214">
        <f>C2214&lt;0.05</f>
        <v/>
      </c>
      <c r="F2214">
        <f>A2214=$B$5</f>
        <v/>
      </c>
      <c r="G2214">
        <f>IF(E2214,A2214,10^9)</f>
        <v/>
      </c>
      <c r="H2214">
        <f>IF(E2214,D2214,10^9)</f>
        <v/>
      </c>
    </row>
    <row r="2215">
      <c r="A2215" t="n">
        <v>2207</v>
      </c>
      <c r="B2215" t="n">
        <v>0</v>
      </c>
      <c r="C2215" t="n">
        <v>0</v>
      </c>
      <c r="D2215" t="n">
        <v>2413.670986889335</v>
      </c>
      <c r="E2215">
        <f>C2215&lt;0.05</f>
        <v/>
      </c>
      <c r="F2215">
        <f>A2215=$B$5</f>
        <v/>
      </c>
      <c r="G2215">
        <f>IF(E2215,A2215,10^9)</f>
        <v/>
      </c>
      <c r="H2215">
        <f>IF(E2215,D2215,10^9)</f>
        <v/>
      </c>
    </row>
    <row r="2216">
      <c r="A2216" t="n">
        <v>2208</v>
      </c>
      <c r="B2216" t="n">
        <v>0</v>
      </c>
      <c r="C2216" t="n">
        <v>0</v>
      </c>
      <c r="D2216" t="n">
        <v>2414.670986889335</v>
      </c>
      <c r="E2216">
        <f>C2216&lt;0.05</f>
        <v/>
      </c>
      <c r="F2216">
        <f>A2216=$B$5</f>
        <v/>
      </c>
      <c r="G2216">
        <f>IF(E2216,A2216,10^9)</f>
        <v/>
      </c>
      <c r="H2216">
        <f>IF(E2216,D2216,10^9)</f>
        <v/>
      </c>
    </row>
    <row r="2217">
      <c r="A2217" t="n">
        <v>2209</v>
      </c>
      <c r="B2217" t="n">
        <v>0</v>
      </c>
      <c r="C2217" t="n">
        <v>0</v>
      </c>
      <c r="D2217" t="n">
        <v>2415.670986889335</v>
      </c>
      <c r="E2217">
        <f>C2217&lt;0.05</f>
        <v/>
      </c>
      <c r="F2217">
        <f>A2217=$B$5</f>
        <v/>
      </c>
      <c r="G2217">
        <f>IF(E2217,A2217,10^9)</f>
        <v/>
      </c>
      <c r="H2217">
        <f>IF(E2217,D2217,10^9)</f>
        <v/>
      </c>
    </row>
    <row r="2218">
      <c r="A2218" t="n">
        <v>2210</v>
      </c>
      <c r="B2218" t="n">
        <v>0</v>
      </c>
      <c r="C2218" t="n">
        <v>0</v>
      </c>
      <c r="D2218" t="n">
        <v>2416.670986889335</v>
      </c>
      <c r="E2218">
        <f>C2218&lt;0.05</f>
        <v/>
      </c>
      <c r="F2218">
        <f>A2218=$B$5</f>
        <v/>
      </c>
      <c r="G2218">
        <f>IF(E2218,A2218,10^9)</f>
        <v/>
      </c>
      <c r="H2218">
        <f>IF(E2218,D2218,10^9)</f>
        <v/>
      </c>
    </row>
    <row r="2219">
      <c r="A2219" t="n">
        <v>2211</v>
      </c>
      <c r="B2219" t="n">
        <v>0</v>
      </c>
      <c r="C2219" t="n">
        <v>0</v>
      </c>
      <c r="D2219" t="n">
        <v>2417.670986889335</v>
      </c>
      <c r="E2219">
        <f>C2219&lt;0.05</f>
        <v/>
      </c>
      <c r="F2219">
        <f>A2219=$B$5</f>
        <v/>
      </c>
      <c r="G2219">
        <f>IF(E2219,A2219,10^9)</f>
        <v/>
      </c>
      <c r="H2219">
        <f>IF(E2219,D2219,10^9)</f>
        <v/>
      </c>
    </row>
    <row r="2220">
      <c r="A2220" t="n">
        <v>2212</v>
      </c>
      <c r="B2220" t="n">
        <v>0</v>
      </c>
      <c r="C2220" t="n">
        <v>0</v>
      </c>
      <c r="D2220" t="n">
        <v>2418.670986889335</v>
      </c>
      <c r="E2220">
        <f>C2220&lt;0.05</f>
        <v/>
      </c>
      <c r="F2220">
        <f>A2220=$B$5</f>
        <v/>
      </c>
      <c r="G2220">
        <f>IF(E2220,A2220,10^9)</f>
        <v/>
      </c>
      <c r="H2220">
        <f>IF(E2220,D2220,10^9)</f>
        <v/>
      </c>
    </row>
    <row r="2221">
      <c r="A2221" t="n">
        <v>2213</v>
      </c>
      <c r="B2221" t="n">
        <v>0</v>
      </c>
      <c r="C2221" t="n">
        <v>0</v>
      </c>
      <c r="D2221" t="n">
        <v>2419.670986889335</v>
      </c>
      <c r="E2221">
        <f>C2221&lt;0.05</f>
        <v/>
      </c>
      <c r="F2221">
        <f>A2221=$B$5</f>
        <v/>
      </c>
      <c r="G2221">
        <f>IF(E2221,A2221,10^9)</f>
        <v/>
      </c>
      <c r="H2221">
        <f>IF(E2221,D2221,10^9)</f>
        <v/>
      </c>
    </row>
    <row r="2222">
      <c r="A2222" t="n">
        <v>2214</v>
      </c>
      <c r="B2222" t="n">
        <v>0</v>
      </c>
      <c r="C2222" t="n">
        <v>0</v>
      </c>
      <c r="D2222" t="n">
        <v>2420.670986889335</v>
      </c>
      <c r="E2222">
        <f>C2222&lt;0.05</f>
        <v/>
      </c>
      <c r="F2222">
        <f>A2222=$B$5</f>
        <v/>
      </c>
      <c r="G2222">
        <f>IF(E2222,A2222,10^9)</f>
        <v/>
      </c>
      <c r="H2222">
        <f>IF(E2222,D2222,10^9)</f>
        <v/>
      </c>
    </row>
    <row r="2223">
      <c r="A2223" t="n">
        <v>2215</v>
      </c>
      <c r="B2223" t="n">
        <v>0</v>
      </c>
      <c r="C2223" t="n">
        <v>0</v>
      </c>
      <c r="D2223" t="n">
        <v>2421.670986889335</v>
      </c>
      <c r="E2223">
        <f>C2223&lt;0.05</f>
        <v/>
      </c>
      <c r="F2223">
        <f>A2223=$B$5</f>
        <v/>
      </c>
      <c r="G2223">
        <f>IF(E2223,A2223,10^9)</f>
        <v/>
      </c>
      <c r="H2223">
        <f>IF(E2223,D2223,10^9)</f>
        <v/>
      </c>
    </row>
    <row r="2224">
      <c r="A2224" t="n">
        <v>2216</v>
      </c>
      <c r="B2224" t="n">
        <v>0</v>
      </c>
      <c r="C2224" t="n">
        <v>0</v>
      </c>
      <c r="D2224" t="n">
        <v>2422.670986889335</v>
      </c>
      <c r="E2224">
        <f>C2224&lt;0.05</f>
        <v/>
      </c>
      <c r="F2224">
        <f>A2224=$B$5</f>
        <v/>
      </c>
      <c r="G2224">
        <f>IF(E2224,A2224,10^9)</f>
        <v/>
      </c>
      <c r="H2224">
        <f>IF(E2224,D2224,10^9)</f>
        <v/>
      </c>
    </row>
    <row r="2225">
      <c r="A2225" t="n">
        <v>2217</v>
      </c>
      <c r="B2225" t="n">
        <v>0</v>
      </c>
      <c r="C2225" t="n">
        <v>0</v>
      </c>
      <c r="D2225" t="n">
        <v>2423.670986889335</v>
      </c>
      <c r="E2225">
        <f>C2225&lt;0.05</f>
        <v/>
      </c>
      <c r="F2225">
        <f>A2225=$B$5</f>
        <v/>
      </c>
      <c r="G2225">
        <f>IF(E2225,A2225,10^9)</f>
        <v/>
      </c>
      <c r="H2225">
        <f>IF(E2225,D2225,10^9)</f>
        <v/>
      </c>
    </row>
    <row r="2226">
      <c r="A2226" t="n">
        <v>2218</v>
      </c>
      <c r="B2226" t="n">
        <v>0</v>
      </c>
      <c r="C2226" t="n">
        <v>0</v>
      </c>
      <c r="D2226" t="n">
        <v>2424.670986889335</v>
      </c>
      <c r="E2226">
        <f>C2226&lt;0.05</f>
        <v/>
      </c>
      <c r="F2226">
        <f>A2226=$B$5</f>
        <v/>
      </c>
      <c r="G2226">
        <f>IF(E2226,A2226,10^9)</f>
        <v/>
      </c>
      <c r="H2226">
        <f>IF(E2226,D2226,10^9)</f>
        <v/>
      </c>
    </row>
    <row r="2227">
      <c r="A2227" t="n">
        <v>2219</v>
      </c>
      <c r="B2227" t="n">
        <v>0</v>
      </c>
      <c r="C2227" t="n">
        <v>0</v>
      </c>
      <c r="D2227" t="n">
        <v>2425.670986889335</v>
      </c>
      <c r="E2227">
        <f>C2227&lt;0.05</f>
        <v/>
      </c>
      <c r="F2227">
        <f>A2227=$B$5</f>
        <v/>
      </c>
      <c r="G2227">
        <f>IF(E2227,A2227,10^9)</f>
        <v/>
      </c>
      <c r="H2227">
        <f>IF(E2227,D2227,10^9)</f>
        <v/>
      </c>
    </row>
    <row r="2228">
      <c r="A2228" t="n">
        <v>2220</v>
      </c>
      <c r="B2228" t="n">
        <v>0</v>
      </c>
      <c r="C2228" t="n">
        <v>0</v>
      </c>
      <c r="D2228" t="n">
        <v>2426.670986889335</v>
      </c>
      <c r="E2228">
        <f>C2228&lt;0.05</f>
        <v/>
      </c>
      <c r="F2228">
        <f>A2228=$B$5</f>
        <v/>
      </c>
      <c r="G2228">
        <f>IF(E2228,A2228,10^9)</f>
        <v/>
      </c>
      <c r="H2228">
        <f>IF(E2228,D2228,10^9)</f>
        <v/>
      </c>
    </row>
    <row r="2229">
      <c r="A2229" t="n">
        <v>2221</v>
      </c>
      <c r="B2229" t="n">
        <v>0</v>
      </c>
      <c r="C2229" t="n">
        <v>0</v>
      </c>
      <c r="D2229" t="n">
        <v>2427.670986889335</v>
      </c>
      <c r="E2229">
        <f>C2229&lt;0.05</f>
        <v/>
      </c>
      <c r="F2229">
        <f>A2229=$B$5</f>
        <v/>
      </c>
      <c r="G2229">
        <f>IF(E2229,A2229,10^9)</f>
        <v/>
      </c>
      <c r="H2229">
        <f>IF(E2229,D2229,10^9)</f>
        <v/>
      </c>
    </row>
    <row r="2230">
      <c r="A2230" t="n">
        <v>2222</v>
      </c>
      <c r="B2230" t="n">
        <v>0</v>
      </c>
      <c r="C2230" t="n">
        <v>0</v>
      </c>
      <c r="D2230" t="n">
        <v>2428.670986889335</v>
      </c>
      <c r="E2230">
        <f>C2230&lt;0.05</f>
        <v/>
      </c>
      <c r="F2230">
        <f>A2230=$B$5</f>
        <v/>
      </c>
      <c r="G2230">
        <f>IF(E2230,A2230,10^9)</f>
        <v/>
      </c>
      <c r="H2230">
        <f>IF(E2230,D2230,10^9)</f>
        <v/>
      </c>
    </row>
    <row r="2231">
      <c r="A2231" t="n">
        <v>2223</v>
      </c>
      <c r="B2231" t="n">
        <v>0</v>
      </c>
      <c r="C2231" t="n">
        <v>0</v>
      </c>
      <c r="D2231" t="n">
        <v>2429.670986889335</v>
      </c>
      <c r="E2231">
        <f>C2231&lt;0.05</f>
        <v/>
      </c>
      <c r="F2231">
        <f>A2231=$B$5</f>
        <v/>
      </c>
      <c r="G2231">
        <f>IF(E2231,A2231,10^9)</f>
        <v/>
      </c>
      <c r="H2231">
        <f>IF(E2231,D2231,10^9)</f>
        <v/>
      </c>
    </row>
    <row r="2232">
      <c r="A2232" t="n">
        <v>2224</v>
      </c>
      <c r="B2232" t="n">
        <v>0</v>
      </c>
      <c r="C2232" t="n">
        <v>0</v>
      </c>
      <c r="D2232" t="n">
        <v>2430.670986889335</v>
      </c>
      <c r="E2232">
        <f>C2232&lt;0.05</f>
        <v/>
      </c>
      <c r="F2232">
        <f>A2232=$B$5</f>
        <v/>
      </c>
      <c r="G2232">
        <f>IF(E2232,A2232,10^9)</f>
        <v/>
      </c>
      <c r="H2232">
        <f>IF(E2232,D2232,10^9)</f>
        <v/>
      </c>
    </row>
    <row r="2233">
      <c r="A2233" t="n">
        <v>2225</v>
      </c>
      <c r="B2233" t="n">
        <v>0</v>
      </c>
      <c r="C2233" t="n">
        <v>0</v>
      </c>
      <c r="D2233" t="n">
        <v>2431.670986889335</v>
      </c>
      <c r="E2233">
        <f>C2233&lt;0.05</f>
        <v/>
      </c>
      <c r="F2233">
        <f>A2233=$B$5</f>
        <v/>
      </c>
      <c r="G2233">
        <f>IF(E2233,A2233,10^9)</f>
        <v/>
      </c>
      <c r="H2233">
        <f>IF(E2233,D2233,10^9)</f>
        <v/>
      </c>
    </row>
    <row r="2234">
      <c r="A2234" t="n">
        <v>2226</v>
      </c>
      <c r="B2234" t="n">
        <v>0</v>
      </c>
      <c r="C2234" t="n">
        <v>0</v>
      </c>
      <c r="D2234" t="n">
        <v>2432.670986889335</v>
      </c>
      <c r="E2234">
        <f>C2234&lt;0.05</f>
        <v/>
      </c>
      <c r="F2234">
        <f>A2234=$B$5</f>
        <v/>
      </c>
      <c r="G2234">
        <f>IF(E2234,A2234,10^9)</f>
        <v/>
      </c>
      <c r="H2234">
        <f>IF(E2234,D2234,10^9)</f>
        <v/>
      </c>
    </row>
    <row r="2235">
      <c r="A2235" t="n">
        <v>2227</v>
      </c>
      <c r="B2235" t="n">
        <v>0</v>
      </c>
      <c r="C2235" t="n">
        <v>0</v>
      </c>
      <c r="D2235" t="n">
        <v>2433.670986889335</v>
      </c>
      <c r="E2235">
        <f>C2235&lt;0.05</f>
        <v/>
      </c>
      <c r="F2235">
        <f>A2235=$B$5</f>
        <v/>
      </c>
      <c r="G2235">
        <f>IF(E2235,A2235,10^9)</f>
        <v/>
      </c>
      <c r="H2235">
        <f>IF(E2235,D2235,10^9)</f>
        <v/>
      </c>
    </row>
    <row r="2236">
      <c r="A2236" t="n">
        <v>2228</v>
      </c>
      <c r="B2236" t="n">
        <v>0</v>
      </c>
      <c r="C2236" t="n">
        <v>0</v>
      </c>
      <c r="D2236" t="n">
        <v>2434.670986889335</v>
      </c>
      <c r="E2236">
        <f>C2236&lt;0.05</f>
        <v/>
      </c>
      <c r="F2236">
        <f>A2236=$B$5</f>
        <v/>
      </c>
      <c r="G2236">
        <f>IF(E2236,A2236,10^9)</f>
        <v/>
      </c>
      <c r="H2236">
        <f>IF(E2236,D2236,10^9)</f>
        <v/>
      </c>
    </row>
    <row r="2237">
      <c r="A2237" t="n">
        <v>2229</v>
      </c>
      <c r="B2237" t="n">
        <v>0</v>
      </c>
      <c r="C2237" t="n">
        <v>0</v>
      </c>
      <c r="D2237" t="n">
        <v>2435.670986889335</v>
      </c>
      <c r="E2237">
        <f>C2237&lt;0.05</f>
        <v/>
      </c>
      <c r="F2237">
        <f>A2237=$B$5</f>
        <v/>
      </c>
      <c r="G2237">
        <f>IF(E2237,A2237,10^9)</f>
        <v/>
      </c>
      <c r="H2237">
        <f>IF(E2237,D2237,10^9)</f>
        <v/>
      </c>
    </row>
    <row r="2238">
      <c r="A2238" t="n">
        <v>2230</v>
      </c>
      <c r="B2238" t="n">
        <v>0</v>
      </c>
      <c r="C2238" t="n">
        <v>0</v>
      </c>
      <c r="D2238" t="n">
        <v>2436.670986889335</v>
      </c>
      <c r="E2238">
        <f>C2238&lt;0.05</f>
        <v/>
      </c>
      <c r="F2238">
        <f>A2238=$B$5</f>
        <v/>
      </c>
      <c r="G2238">
        <f>IF(E2238,A2238,10^9)</f>
        <v/>
      </c>
      <c r="H2238">
        <f>IF(E2238,D2238,10^9)</f>
        <v/>
      </c>
    </row>
    <row r="2239">
      <c r="A2239" t="n">
        <v>2231</v>
      </c>
      <c r="B2239" t="n">
        <v>0</v>
      </c>
      <c r="C2239" t="n">
        <v>0</v>
      </c>
      <c r="D2239" t="n">
        <v>2437.670986889335</v>
      </c>
      <c r="E2239">
        <f>C2239&lt;0.05</f>
        <v/>
      </c>
      <c r="F2239">
        <f>A2239=$B$5</f>
        <v/>
      </c>
      <c r="G2239">
        <f>IF(E2239,A2239,10^9)</f>
        <v/>
      </c>
      <c r="H2239">
        <f>IF(E2239,D2239,10^9)</f>
        <v/>
      </c>
    </row>
    <row r="2240">
      <c r="A2240" t="n">
        <v>2232</v>
      </c>
      <c r="B2240" t="n">
        <v>0</v>
      </c>
      <c r="C2240" t="n">
        <v>0</v>
      </c>
      <c r="D2240" t="n">
        <v>2438.670986889335</v>
      </c>
      <c r="E2240">
        <f>C2240&lt;0.05</f>
        <v/>
      </c>
      <c r="F2240">
        <f>A2240=$B$5</f>
        <v/>
      </c>
      <c r="G2240">
        <f>IF(E2240,A2240,10^9)</f>
        <v/>
      </c>
      <c r="H2240">
        <f>IF(E2240,D2240,10^9)</f>
        <v/>
      </c>
    </row>
    <row r="2241">
      <c r="A2241" t="n">
        <v>2233</v>
      </c>
      <c r="B2241" t="n">
        <v>0</v>
      </c>
      <c r="C2241" t="n">
        <v>0</v>
      </c>
      <c r="D2241" t="n">
        <v>2439.670986889335</v>
      </c>
      <c r="E2241">
        <f>C2241&lt;0.05</f>
        <v/>
      </c>
      <c r="F2241">
        <f>A2241=$B$5</f>
        <v/>
      </c>
      <c r="G2241">
        <f>IF(E2241,A2241,10^9)</f>
        <v/>
      </c>
      <c r="H2241">
        <f>IF(E2241,D2241,10^9)</f>
        <v/>
      </c>
    </row>
    <row r="2242">
      <c r="A2242" t="n">
        <v>2234</v>
      </c>
      <c r="B2242" t="n">
        <v>0</v>
      </c>
      <c r="C2242" t="n">
        <v>0</v>
      </c>
      <c r="D2242" t="n">
        <v>2440.670986889335</v>
      </c>
      <c r="E2242">
        <f>C2242&lt;0.05</f>
        <v/>
      </c>
      <c r="F2242">
        <f>A2242=$B$5</f>
        <v/>
      </c>
      <c r="G2242">
        <f>IF(E2242,A2242,10^9)</f>
        <v/>
      </c>
      <c r="H2242">
        <f>IF(E2242,D2242,10^9)</f>
        <v/>
      </c>
    </row>
    <row r="2243">
      <c r="A2243" t="n">
        <v>2235</v>
      </c>
      <c r="B2243" t="n">
        <v>0</v>
      </c>
      <c r="C2243" t="n">
        <v>0</v>
      </c>
      <c r="D2243" t="n">
        <v>2441.670986889335</v>
      </c>
      <c r="E2243">
        <f>C2243&lt;0.05</f>
        <v/>
      </c>
      <c r="F2243">
        <f>A2243=$B$5</f>
        <v/>
      </c>
      <c r="G2243">
        <f>IF(E2243,A2243,10^9)</f>
        <v/>
      </c>
      <c r="H2243">
        <f>IF(E2243,D2243,10^9)</f>
        <v/>
      </c>
    </row>
    <row r="2244">
      <c r="A2244" t="n">
        <v>2236</v>
      </c>
      <c r="B2244" t="n">
        <v>0</v>
      </c>
      <c r="C2244" t="n">
        <v>0</v>
      </c>
      <c r="D2244" t="n">
        <v>2442.670986889335</v>
      </c>
      <c r="E2244">
        <f>C2244&lt;0.05</f>
        <v/>
      </c>
      <c r="F2244">
        <f>A2244=$B$5</f>
        <v/>
      </c>
      <c r="G2244">
        <f>IF(E2244,A2244,10^9)</f>
        <v/>
      </c>
      <c r="H2244">
        <f>IF(E2244,D2244,10^9)</f>
        <v/>
      </c>
    </row>
    <row r="2245">
      <c r="A2245" t="n">
        <v>2237</v>
      </c>
      <c r="B2245" t="n">
        <v>0</v>
      </c>
      <c r="C2245" t="n">
        <v>0</v>
      </c>
      <c r="D2245" t="n">
        <v>2443.670986889335</v>
      </c>
      <c r="E2245">
        <f>C2245&lt;0.05</f>
        <v/>
      </c>
      <c r="F2245">
        <f>A2245=$B$5</f>
        <v/>
      </c>
      <c r="G2245">
        <f>IF(E2245,A2245,10^9)</f>
        <v/>
      </c>
      <c r="H2245">
        <f>IF(E2245,D2245,10^9)</f>
        <v/>
      </c>
    </row>
    <row r="2246">
      <c r="A2246" t="n">
        <v>2238</v>
      </c>
      <c r="B2246" t="n">
        <v>0</v>
      </c>
      <c r="C2246" t="n">
        <v>0</v>
      </c>
      <c r="D2246" t="n">
        <v>2444.670986889335</v>
      </c>
      <c r="E2246">
        <f>C2246&lt;0.05</f>
        <v/>
      </c>
      <c r="F2246">
        <f>A2246=$B$5</f>
        <v/>
      </c>
      <c r="G2246">
        <f>IF(E2246,A2246,10^9)</f>
        <v/>
      </c>
      <c r="H2246">
        <f>IF(E2246,D2246,10^9)</f>
        <v/>
      </c>
    </row>
    <row r="2247">
      <c r="A2247" t="n">
        <v>2239</v>
      </c>
      <c r="B2247" t="n">
        <v>0</v>
      </c>
      <c r="C2247" t="n">
        <v>0</v>
      </c>
      <c r="D2247" t="n">
        <v>2445.670986889335</v>
      </c>
      <c r="E2247">
        <f>C2247&lt;0.05</f>
        <v/>
      </c>
      <c r="F2247">
        <f>A2247=$B$5</f>
        <v/>
      </c>
      <c r="G2247">
        <f>IF(E2247,A2247,10^9)</f>
        <v/>
      </c>
      <c r="H2247">
        <f>IF(E2247,D2247,10^9)</f>
        <v/>
      </c>
    </row>
    <row r="2248">
      <c r="A2248" t="n">
        <v>2240</v>
      </c>
      <c r="B2248" t="n">
        <v>0</v>
      </c>
      <c r="C2248" t="n">
        <v>0</v>
      </c>
      <c r="D2248" t="n">
        <v>2446.670986889335</v>
      </c>
      <c r="E2248">
        <f>C2248&lt;0.05</f>
        <v/>
      </c>
      <c r="F2248">
        <f>A2248=$B$5</f>
        <v/>
      </c>
      <c r="G2248">
        <f>IF(E2248,A2248,10^9)</f>
        <v/>
      </c>
      <c r="H2248">
        <f>IF(E2248,D2248,10^9)</f>
        <v/>
      </c>
    </row>
    <row r="2249">
      <c r="A2249" t="n">
        <v>2241</v>
      </c>
      <c r="B2249" t="n">
        <v>0</v>
      </c>
      <c r="C2249" t="n">
        <v>0</v>
      </c>
      <c r="D2249" t="n">
        <v>2447.670986889335</v>
      </c>
      <c r="E2249">
        <f>C2249&lt;0.05</f>
        <v/>
      </c>
      <c r="F2249">
        <f>A2249=$B$5</f>
        <v/>
      </c>
      <c r="G2249">
        <f>IF(E2249,A2249,10^9)</f>
        <v/>
      </c>
      <c r="H2249">
        <f>IF(E2249,D2249,10^9)</f>
        <v/>
      </c>
    </row>
    <row r="2250">
      <c r="A2250" t="n">
        <v>2242</v>
      </c>
      <c r="B2250" t="n">
        <v>0</v>
      </c>
      <c r="C2250" t="n">
        <v>0</v>
      </c>
      <c r="D2250" t="n">
        <v>2448.670986889335</v>
      </c>
      <c r="E2250">
        <f>C2250&lt;0.05</f>
        <v/>
      </c>
      <c r="F2250">
        <f>A2250=$B$5</f>
        <v/>
      </c>
      <c r="G2250">
        <f>IF(E2250,A2250,10^9)</f>
        <v/>
      </c>
      <c r="H2250">
        <f>IF(E2250,D2250,10^9)</f>
        <v/>
      </c>
    </row>
    <row r="2251">
      <c r="A2251" t="n">
        <v>2243</v>
      </c>
      <c r="B2251" t="n">
        <v>0</v>
      </c>
      <c r="C2251" t="n">
        <v>0</v>
      </c>
      <c r="D2251" t="n">
        <v>2449.670986889335</v>
      </c>
      <c r="E2251">
        <f>C2251&lt;0.05</f>
        <v/>
      </c>
      <c r="F2251">
        <f>A2251=$B$5</f>
        <v/>
      </c>
      <c r="G2251">
        <f>IF(E2251,A2251,10^9)</f>
        <v/>
      </c>
      <c r="H2251">
        <f>IF(E2251,D2251,10^9)</f>
        <v/>
      </c>
    </row>
    <row r="2252">
      <c r="A2252" t="n">
        <v>2244</v>
      </c>
      <c r="B2252" t="n">
        <v>0</v>
      </c>
      <c r="C2252" t="n">
        <v>0</v>
      </c>
      <c r="D2252" t="n">
        <v>2450.670986889335</v>
      </c>
      <c r="E2252">
        <f>C2252&lt;0.05</f>
        <v/>
      </c>
      <c r="F2252">
        <f>A2252=$B$5</f>
        <v/>
      </c>
      <c r="G2252">
        <f>IF(E2252,A2252,10^9)</f>
        <v/>
      </c>
      <c r="H2252">
        <f>IF(E2252,D2252,10^9)</f>
        <v/>
      </c>
    </row>
    <row r="2253">
      <c r="A2253" t="n">
        <v>2245</v>
      </c>
      <c r="B2253" t="n">
        <v>0</v>
      </c>
      <c r="C2253" t="n">
        <v>0</v>
      </c>
      <c r="D2253" t="n">
        <v>2451.670986889335</v>
      </c>
      <c r="E2253">
        <f>C2253&lt;0.05</f>
        <v/>
      </c>
      <c r="F2253">
        <f>A2253=$B$5</f>
        <v/>
      </c>
      <c r="G2253">
        <f>IF(E2253,A2253,10^9)</f>
        <v/>
      </c>
      <c r="H2253">
        <f>IF(E2253,D2253,10^9)</f>
        <v/>
      </c>
    </row>
    <row r="2254">
      <c r="A2254" t="n">
        <v>2246</v>
      </c>
      <c r="B2254" t="n">
        <v>0</v>
      </c>
      <c r="C2254" t="n">
        <v>0</v>
      </c>
      <c r="D2254" t="n">
        <v>2452.670986889335</v>
      </c>
      <c r="E2254">
        <f>C2254&lt;0.05</f>
        <v/>
      </c>
      <c r="F2254">
        <f>A2254=$B$5</f>
        <v/>
      </c>
      <c r="G2254">
        <f>IF(E2254,A2254,10^9)</f>
        <v/>
      </c>
      <c r="H2254">
        <f>IF(E2254,D2254,10^9)</f>
        <v/>
      </c>
    </row>
    <row r="2255">
      <c r="A2255" t="n">
        <v>2247</v>
      </c>
      <c r="B2255" t="n">
        <v>0</v>
      </c>
      <c r="C2255" t="n">
        <v>0</v>
      </c>
      <c r="D2255" t="n">
        <v>2453.670986889335</v>
      </c>
      <c r="E2255">
        <f>C2255&lt;0.05</f>
        <v/>
      </c>
      <c r="F2255">
        <f>A2255=$B$5</f>
        <v/>
      </c>
      <c r="G2255">
        <f>IF(E2255,A2255,10^9)</f>
        <v/>
      </c>
      <c r="H2255">
        <f>IF(E2255,D2255,10^9)</f>
        <v/>
      </c>
    </row>
    <row r="2256">
      <c r="A2256" t="n">
        <v>2248</v>
      </c>
      <c r="B2256" t="n">
        <v>0</v>
      </c>
      <c r="C2256" t="n">
        <v>0</v>
      </c>
      <c r="D2256" t="n">
        <v>2454.670986889335</v>
      </c>
      <c r="E2256">
        <f>C2256&lt;0.05</f>
        <v/>
      </c>
      <c r="F2256">
        <f>A2256=$B$5</f>
        <v/>
      </c>
      <c r="G2256">
        <f>IF(E2256,A2256,10^9)</f>
        <v/>
      </c>
      <c r="H2256">
        <f>IF(E2256,D2256,10^9)</f>
        <v/>
      </c>
    </row>
    <row r="2257">
      <c r="A2257" t="n">
        <v>2249</v>
      </c>
      <c r="B2257" t="n">
        <v>0</v>
      </c>
      <c r="C2257" t="n">
        <v>0</v>
      </c>
      <c r="D2257" t="n">
        <v>2455.670986889335</v>
      </c>
      <c r="E2257">
        <f>C2257&lt;0.05</f>
        <v/>
      </c>
      <c r="F2257">
        <f>A2257=$B$5</f>
        <v/>
      </c>
      <c r="G2257">
        <f>IF(E2257,A2257,10^9)</f>
        <v/>
      </c>
      <c r="H2257">
        <f>IF(E2257,D2257,10^9)</f>
        <v/>
      </c>
    </row>
    <row r="2258">
      <c r="A2258" t="n">
        <v>2250</v>
      </c>
      <c r="B2258" t="n">
        <v>0</v>
      </c>
      <c r="C2258" t="n">
        <v>0</v>
      </c>
      <c r="D2258" t="n">
        <v>2456.670986889335</v>
      </c>
      <c r="E2258">
        <f>C2258&lt;0.05</f>
        <v/>
      </c>
      <c r="F2258">
        <f>A2258=$B$5</f>
        <v/>
      </c>
      <c r="G2258">
        <f>IF(E2258,A2258,10^9)</f>
        <v/>
      </c>
      <c r="H2258">
        <f>IF(E2258,D2258,10^9)</f>
        <v/>
      </c>
    </row>
    <row r="2259">
      <c r="A2259" t="n">
        <v>2251</v>
      </c>
      <c r="B2259" t="n">
        <v>0</v>
      </c>
      <c r="C2259" t="n">
        <v>0</v>
      </c>
      <c r="D2259" t="n">
        <v>2457.670986889335</v>
      </c>
      <c r="E2259">
        <f>C2259&lt;0.05</f>
        <v/>
      </c>
      <c r="F2259">
        <f>A2259=$B$5</f>
        <v/>
      </c>
      <c r="G2259">
        <f>IF(E2259,A2259,10^9)</f>
        <v/>
      </c>
      <c r="H2259">
        <f>IF(E2259,D2259,10^9)</f>
        <v/>
      </c>
    </row>
    <row r="2260">
      <c r="A2260" t="n">
        <v>2252</v>
      </c>
      <c r="B2260" t="n">
        <v>0</v>
      </c>
      <c r="C2260" t="n">
        <v>0</v>
      </c>
      <c r="D2260" t="n">
        <v>2458.670986889335</v>
      </c>
      <c r="E2260">
        <f>C2260&lt;0.05</f>
        <v/>
      </c>
      <c r="F2260">
        <f>A2260=$B$5</f>
        <v/>
      </c>
      <c r="G2260">
        <f>IF(E2260,A2260,10^9)</f>
        <v/>
      </c>
      <c r="H2260">
        <f>IF(E2260,D2260,10^9)</f>
        <v/>
      </c>
    </row>
    <row r="2261">
      <c r="A2261" t="n">
        <v>2253</v>
      </c>
      <c r="B2261" t="n">
        <v>0</v>
      </c>
      <c r="C2261" t="n">
        <v>0</v>
      </c>
      <c r="D2261" t="n">
        <v>2459.670986889335</v>
      </c>
      <c r="E2261">
        <f>C2261&lt;0.05</f>
        <v/>
      </c>
      <c r="F2261">
        <f>A2261=$B$5</f>
        <v/>
      </c>
      <c r="G2261">
        <f>IF(E2261,A2261,10^9)</f>
        <v/>
      </c>
      <c r="H2261">
        <f>IF(E2261,D2261,10^9)</f>
        <v/>
      </c>
    </row>
    <row r="2262">
      <c r="A2262" t="n">
        <v>2254</v>
      </c>
      <c r="B2262" t="n">
        <v>0</v>
      </c>
      <c r="C2262" t="n">
        <v>0</v>
      </c>
      <c r="D2262" t="n">
        <v>2460.670986889335</v>
      </c>
      <c r="E2262">
        <f>C2262&lt;0.05</f>
        <v/>
      </c>
      <c r="F2262">
        <f>A2262=$B$5</f>
        <v/>
      </c>
      <c r="G2262">
        <f>IF(E2262,A2262,10^9)</f>
        <v/>
      </c>
      <c r="H2262">
        <f>IF(E2262,D2262,10^9)</f>
        <v/>
      </c>
    </row>
    <row r="2263">
      <c r="A2263" t="n">
        <v>2255</v>
      </c>
      <c r="B2263" t="n">
        <v>0</v>
      </c>
      <c r="C2263" t="n">
        <v>0</v>
      </c>
      <c r="D2263" t="n">
        <v>2461.670986889335</v>
      </c>
      <c r="E2263">
        <f>C2263&lt;0.05</f>
        <v/>
      </c>
      <c r="F2263">
        <f>A2263=$B$5</f>
        <v/>
      </c>
      <c r="G2263">
        <f>IF(E2263,A2263,10^9)</f>
        <v/>
      </c>
      <c r="H2263">
        <f>IF(E2263,D2263,10^9)</f>
        <v/>
      </c>
    </row>
    <row r="2264">
      <c r="A2264" t="n">
        <v>2256</v>
      </c>
      <c r="B2264" t="n">
        <v>0</v>
      </c>
      <c r="C2264" t="n">
        <v>0</v>
      </c>
      <c r="D2264" t="n">
        <v>2462.670986889335</v>
      </c>
      <c r="E2264">
        <f>C2264&lt;0.05</f>
        <v/>
      </c>
      <c r="F2264">
        <f>A2264=$B$5</f>
        <v/>
      </c>
      <c r="G2264">
        <f>IF(E2264,A2264,10^9)</f>
        <v/>
      </c>
      <c r="H2264">
        <f>IF(E2264,D2264,10^9)</f>
        <v/>
      </c>
    </row>
    <row r="2265">
      <c r="A2265" t="n">
        <v>2257</v>
      </c>
      <c r="B2265" t="n">
        <v>0</v>
      </c>
      <c r="C2265" t="n">
        <v>0</v>
      </c>
      <c r="D2265" t="n">
        <v>2463.670986889335</v>
      </c>
      <c r="E2265">
        <f>C2265&lt;0.05</f>
        <v/>
      </c>
      <c r="F2265">
        <f>A2265=$B$5</f>
        <v/>
      </c>
      <c r="G2265">
        <f>IF(E2265,A2265,10^9)</f>
        <v/>
      </c>
      <c r="H2265">
        <f>IF(E2265,D2265,10^9)</f>
        <v/>
      </c>
    </row>
    <row r="2266">
      <c r="A2266" t="n">
        <v>2258</v>
      </c>
      <c r="B2266" t="n">
        <v>0</v>
      </c>
      <c r="C2266" t="n">
        <v>0</v>
      </c>
      <c r="D2266" t="n">
        <v>2464.670986889335</v>
      </c>
      <c r="E2266">
        <f>C2266&lt;0.05</f>
        <v/>
      </c>
      <c r="F2266">
        <f>A2266=$B$5</f>
        <v/>
      </c>
      <c r="G2266">
        <f>IF(E2266,A2266,10^9)</f>
        <v/>
      </c>
      <c r="H2266">
        <f>IF(E2266,D2266,10^9)</f>
        <v/>
      </c>
    </row>
    <row r="2267">
      <c r="A2267" t="n">
        <v>2259</v>
      </c>
      <c r="B2267" t="n">
        <v>0</v>
      </c>
      <c r="C2267" t="n">
        <v>0</v>
      </c>
      <c r="D2267" t="n">
        <v>2465.670986889335</v>
      </c>
      <c r="E2267">
        <f>C2267&lt;0.05</f>
        <v/>
      </c>
      <c r="F2267">
        <f>A2267=$B$5</f>
        <v/>
      </c>
      <c r="G2267">
        <f>IF(E2267,A2267,10^9)</f>
        <v/>
      </c>
      <c r="H2267">
        <f>IF(E2267,D2267,10^9)</f>
        <v/>
      </c>
    </row>
    <row r="2268">
      <c r="A2268" t="n">
        <v>2260</v>
      </c>
      <c r="B2268" t="n">
        <v>0</v>
      </c>
      <c r="C2268" t="n">
        <v>0</v>
      </c>
      <c r="D2268" t="n">
        <v>2466.670986889335</v>
      </c>
      <c r="E2268">
        <f>C2268&lt;0.05</f>
        <v/>
      </c>
      <c r="F2268">
        <f>A2268=$B$5</f>
        <v/>
      </c>
      <c r="G2268">
        <f>IF(E2268,A2268,10^9)</f>
        <v/>
      </c>
      <c r="H2268">
        <f>IF(E2268,D2268,10^9)</f>
        <v/>
      </c>
    </row>
    <row r="2269">
      <c r="A2269" t="n">
        <v>2261</v>
      </c>
      <c r="B2269" t="n">
        <v>0</v>
      </c>
      <c r="C2269" t="n">
        <v>0</v>
      </c>
      <c r="D2269" t="n">
        <v>2467.670986889335</v>
      </c>
      <c r="E2269">
        <f>C2269&lt;0.05</f>
        <v/>
      </c>
      <c r="F2269">
        <f>A2269=$B$5</f>
        <v/>
      </c>
      <c r="G2269">
        <f>IF(E2269,A2269,10^9)</f>
        <v/>
      </c>
      <c r="H2269">
        <f>IF(E2269,D2269,10^9)</f>
        <v/>
      </c>
    </row>
    <row r="2270">
      <c r="A2270" t="n">
        <v>2262</v>
      </c>
      <c r="B2270" t="n">
        <v>0</v>
      </c>
      <c r="C2270" t="n">
        <v>0</v>
      </c>
      <c r="D2270" t="n">
        <v>2468.670986889335</v>
      </c>
      <c r="E2270">
        <f>C2270&lt;0.05</f>
        <v/>
      </c>
      <c r="F2270">
        <f>A2270=$B$5</f>
        <v/>
      </c>
      <c r="G2270">
        <f>IF(E2270,A2270,10^9)</f>
        <v/>
      </c>
      <c r="H2270">
        <f>IF(E2270,D2270,10^9)</f>
        <v/>
      </c>
    </row>
    <row r="2271">
      <c r="A2271" t="n">
        <v>2263</v>
      </c>
      <c r="B2271" t="n">
        <v>0</v>
      </c>
      <c r="C2271" t="n">
        <v>0</v>
      </c>
      <c r="D2271" t="n">
        <v>2469.670986889335</v>
      </c>
      <c r="E2271">
        <f>C2271&lt;0.05</f>
        <v/>
      </c>
      <c r="F2271">
        <f>A2271=$B$5</f>
        <v/>
      </c>
      <c r="G2271">
        <f>IF(E2271,A2271,10^9)</f>
        <v/>
      </c>
      <c r="H2271">
        <f>IF(E2271,D2271,10^9)</f>
        <v/>
      </c>
    </row>
    <row r="2272">
      <c r="A2272" t="n">
        <v>2264</v>
      </c>
      <c r="B2272" t="n">
        <v>0</v>
      </c>
      <c r="C2272" t="n">
        <v>0</v>
      </c>
      <c r="D2272" t="n">
        <v>2470.670986889335</v>
      </c>
      <c r="E2272">
        <f>C2272&lt;0.05</f>
        <v/>
      </c>
      <c r="F2272">
        <f>A2272=$B$5</f>
        <v/>
      </c>
      <c r="G2272">
        <f>IF(E2272,A2272,10^9)</f>
        <v/>
      </c>
      <c r="H2272">
        <f>IF(E2272,D2272,10^9)</f>
        <v/>
      </c>
    </row>
    <row r="2273">
      <c r="A2273" t="n">
        <v>2265</v>
      </c>
      <c r="B2273" t="n">
        <v>0</v>
      </c>
      <c r="C2273" t="n">
        <v>0</v>
      </c>
      <c r="D2273" t="n">
        <v>2471.670986889335</v>
      </c>
      <c r="E2273">
        <f>C2273&lt;0.05</f>
        <v/>
      </c>
      <c r="F2273">
        <f>A2273=$B$5</f>
        <v/>
      </c>
      <c r="G2273">
        <f>IF(E2273,A2273,10^9)</f>
        <v/>
      </c>
      <c r="H2273">
        <f>IF(E2273,D2273,10^9)</f>
        <v/>
      </c>
    </row>
    <row r="2274">
      <c r="A2274" t="n">
        <v>2266</v>
      </c>
      <c r="B2274" t="n">
        <v>0</v>
      </c>
      <c r="C2274" t="n">
        <v>0</v>
      </c>
      <c r="D2274" t="n">
        <v>2472.670986889335</v>
      </c>
      <c r="E2274">
        <f>C2274&lt;0.05</f>
        <v/>
      </c>
      <c r="F2274">
        <f>A2274=$B$5</f>
        <v/>
      </c>
      <c r="G2274">
        <f>IF(E2274,A2274,10^9)</f>
        <v/>
      </c>
      <c r="H2274">
        <f>IF(E2274,D2274,10^9)</f>
        <v/>
      </c>
    </row>
    <row r="2275">
      <c r="A2275" t="n">
        <v>2267</v>
      </c>
      <c r="B2275" t="n">
        <v>0</v>
      </c>
      <c r="C2275" t="n">
        <v>0</v>
      </c>
      <c r="D2275" t="n">
        <v>2473.670986889335</v>
      </c>
      <c r="E2275">
        <f>C2275&lt;0.05</f>
        <v/>
      </c>
      <c r="F2275">
        <f>A2275=$B$5</f>
        <v/>
      </c>
      <c r="G2275">
        <f>IF(E2275,A2275,10^9)</f>
        <v/>
      </c>
      <c r="H2275">
        <f>IF(E2275,D2275,10^9)</f>
        <v/>
      </c>
    </row>
    <row r="2276">
      <c r="A2276" t="n">
        <v>2268</v>
      </c>
      <c r="B2276" t="n">
        <v>0</v>
      </c>
      <c r="C2276" t="n">
        <v>0</v>
      </c>
      <c r="D2276" t="n">
        <v>2474.670986889335</v>
      </c>
      <c r="E2276">
        <f>C2276&lt;0.05</f>
        <v/>
      </c>
      <c r="F2276">
        <f>A2276=$B$5</f>
        <v/>
      </c>
      <c r="G2276">
        <f>IF(E2276,A2276,10^9)</f>
        <v/>
      </c>
      <c r="H2276">
        <f>IF(E2276,D2276,10^9)</f>
        <v/>
      </c>
    </row>
    <row r="2277">
      <c r="A2277" t="n">
        <v>2269</v>
      </c>
      <c r="B2277" t="n">
        <v>0</v>
      </c>
      <c r="C2277" t="n">
        <v>0</v>
      </c>
      <c r="D2277" t="n">
        <v>2475.670986889335</v>
      </c>
      <c r="E2277">
        <f>C2277&lt;0.05</f>
        <v/>
      </c>
      <c r="F2277">
        <f>A2277=$B$5</f>
        <v/>
      </c>
      <c r="G2277">
        <f>IF(E2277,A2277,10^9)</f>
        <v/>
      </c>
      <c r="H2277">
        <f>IF(E2277,D2277,10^9)</f>
        <v/>
      </c>
    </row>
    <row r="2278">
      <c r="A2278" t="n">
        <v>2270</v>
      </c>
      <c r="B2278" t="n">
        <v>0</v>
      </c>
      <c r="C2278" t="n">
        <v>0</v>
      </c>
      <c r="D2278" t="n">
        <v>2476.670986889335</v>
      </c>
      <c r="E2278">
        <f>C2278&lt;0.05</f>
        <v/>
      </c>
      <c r="F2278">
        <f>A2278=$B$5</f>
        <v/>
      </c>
      <c r="G2278">
        <f>IF(E2278,A2278,10^9)</f>
        <v/>
      </c>
      <c r="H2278">
        <f>IF(E2278,D2278,10^9)</f>
        <v/>
      </c>
    </row>
    <row r="2279">
      <c r="A2279" t="n">
        <v>2271</v>
      </c>
      <c r="B2279" t="n">
        <v>0</v>
      </c>
      <c r="C2279" t="n">
        <v>0</v>
      </c>
      <c r="D2279" t="n">
        <v>2477.670986889335</v>
      </c>
      <c r="E2279">
        <f>C2279&lt;0.05</f>
        <v/>
      </c>
      <c r="F2279">
        <f>A2279=$B$5</f>
        <v/>
      </c>
      <c r="G2279">
        <f>IF(E2279,A2279,10^9)</f>
        <v/>
      </c>
      <c r="H2279">
        <f>IF(E2279,D2279,10^9)</f>
        <v/>
      </c>
    </row>
    <row r="2280">
      <c r="A2280" t="n">
        <v>2272</v>
      </c>
      <c r="B2280" t="n">
        <v>0</v>
      </c>
      <c r="C2280" t="n">
        <v>0</v>
      </c>
      <c r="D2280" t="n">
        <v>2478.670986889335</v>
      </c>
      <c r="E2280">
        <f>C2280&lt;0.05</f>
        <v/>
      </c>
      <c r="F2280">
        <f>A2280=$B$5</f>
        <v/>
      </c>
      <c r="G2280">
        <f>IF(E2280,A2280,10^9)</f>
        <v/>
      </c>
      <c r="H2280">
        <f>IF(E2280,D2280,10^9)</f>
        <v/>
      </c>
    </row>
    <row r="2281">
      <c r="A2281" t="n">
        <v>2273</v>
      </c>
      <c r="B2281" t="n">
        <v>0</v>
      </c>
      <c r="C2281" t="n">
        <v>0</v>
      </c>
      <c r="D2281" t="n">
        <v>2479.670986889335</v>
      </c>
      <c r="E2281">
        <f>C2281&lt;0.05</f>
        <v/>
      </c>
      <c r="F2281">
        <f>A2281=$B$5</f>
        <v/>
      </c>
      <c r="G2281">
        <f>IF(E2281,A2281,10^9)</f>
        <v/>
      </c>
      <c r="H2281">
        <f>IF(E2281,D2281,10^9)</f>
        <v/>
      </c>
    </row>
    <row r="2282">
      <c r="A2282" t="n">
        <v>2274</v>
      </c>
      <c r="B2282" t="n">
        <v>0</v>
      </c>
      <c r="C2282" t="n">
        <v>0</v>
      </c>
      <c r="D2282" t="n">
        <v>2480.670986889335</v>
      </c>
      <c r="E2282">
        <f>C2282&lt;0.05</f>
        <v/>
      </c>
      <c r="F2282">
        <f>A2282=$B$5</f>
        <v/>
      </c>
      <c r="G2282">
        <f>IF(E2282,A2282,10^9)</f>
        <v/>
      </c>
      <c r="H2282">
        <f>IF(E2282,D2282,10^9)</f>
        <v/>
      </c>
    </row>
    <row r="2283">
      <c r="A2283" t="n">
        <v>2275</v>
      </c>
      <c r="B2283" t="n">
        <v>0</v>
      </c>
      <c r="C2283" t="n">
        <v>0</v>
      </c>
      <c r="D2283" t="n">
        <v>2481.670986889335</v>
      </c>
      <c r="E2283">
        <f>C2283&lt;0.05</f>
        <v/>
      </c>
      <c r="F2283">
        <f>A2283=$B$5</f>
        <v/>
      </c>
      <c r="G2283">
        <f>IF(E2283,A2283,10^9)</f>
        <v/>
      </c>
      <c r="H2283">
        <f>IF(E2283,D2283,10^9)</f>
        <v/>
      </c>
    </row>
    <row r="2284">
      <c r="A2284" t="n">
        <v>2276</v>
      </c>
      <c r="B2284" t="n">
        <v>0</v>
      </c>
      <c r="C2284" t="n">
        <v>0</v>
      </c>
      <c r="D2284" t="n">
        <v>2482.670986889335</v>
      </c>
      <c r="E2284">
        <f>C2284&lt;0.05</f>
        <v/>
      </c>
      <c r="F2284">
        <f>A2284=$B$5</f>
        <v/>
      </c>
      <c r="G2284">
        <f>IF(E2284,A2284,10^9)</f>
        <v/>
      </c>
      <c r="H2284">
        <f>IF(E2284,D2284,10^9)</f>
        <v/>
      </c>
    </row>
    <row r="2285">
      <c r="A2285" t="n">
        <v>2277</v>
      </c>
      <c r="B2285" t="n">
        <v>0</v>
      </c>
      <c r="C2285" t="n">
        <v>0</v>
      </c>
      <c r="D2285" t="n">
        <v>2483.670986889335</v>
      </c>
      <c r="E2285">
        <f>C2285&lt;0.05</f>
        <v/>
      </c>
      <c r="F2285">
        <f>A2285=$B$5</f>
        <v/>
      </c>
      <c r="G2285">
        <f>IF(E2285,A2285,10^9)</f>
        <v/>
      </c>
      <c r="H2285">
        <f>IF(E2285,D2285,10^9)</f>
        <v/>
      </c>
    </row>
    <row r="2286">
      <c r="A2286" t="n">
        <v>2278</v>
      </c>
      <c r="B2286" t="n">
        <v>0</v>
      </c>
      <c r="C2286" t="n">
        <v>0</v>
      </c>
      <c r="D2286" t="n">
        <v>2484.670986889335</v>
      </c>
      <c r="E2286">
        <f>C2286&lt;0.05</f>
        <v/>
      </c>
      <c r="F2286">
        <f>A2286=$B$5</f>
        <v/>
      </c>
      <c r="G2286">
        <f>IF(E2286,A2286,10^9)</f>
        <v/>
      </c>
      <c r="H2286">
        <f>IF(E2286,D2286,10^9)</f>
        <v/>
      </c>
    </row>
    <row r="2287">
      <c r="A2287" t="n">
        <v>2279</v>
      </c>
      <c r="B2287" t="n">
        <v>0</v>
      </c>
      <c r="C2287" t="n">
        <v>0</v>
      </c>
      <c r="D2287" t="n">
        <v>2485.670986889335</v>
      </c>
      <c r="E2287">
        <f>C2287&lt;0.05</f>
        <v/>
      </c>
      <c r="F2287">
        <f>A2287=$B$5</f>
        <v/>
      </c>
      <c r="G2287">
        <f>IF(E2287,A2287,10^9)</f>
        <v/>
      </c>
      <c r="H2287">
        <f>IF(E2287,D2287,10^9)</f>
        <v/>
      </c>
    </row>
    <row r="2288">
      <c r="A2288" t="n">
        <v>2280</v>
      </c>
      <c r="B2288" t="n">
        <v>0</v>
      </c>
      <c r="C2288" t="n">
        <v>0</v>
      </c>
      <c r="D2288" t="n">
        <v>2486.670986889335</v>
      </c>
      <c r="E2288">
        <f>C2288&lt;0.05</f>
        <v/>
      </c>
      <c r="F2288">
        <f>A2288=$B$5</f>
        <v/>
      </c>
      <c r="G2288">
        <f>IF(E2288,A2288,10^9)</f>
        <v/>
      </c>
      <c r="H2288">
        <f>IF(E2288,D2288,10^9)</f>
        <v/>
      </c>
    </row>
    <row r="2289">
      <c r="A2289" t="n">
        <v>2281</v>
      </c>
      <c r="B2289" t="n">
        <v>0</v>
      </c>
      <c r="C2289" t="n">
        <v>0</v>
      </c>
      <c r="D2289" t="n">
        <v>2487.670986889335</v>
      </c>
      <c r="E2289">
        <f>C2289&lt;0.05</f>
        <v/>
      </c>
      <c r="F2289">
        <f>A2289=$B$5</f>
        <v/>
      </c>
      <c r="G2289">
        <f>IF(E2289,A2289,10^9)</f>
        <v/>
      </c>
      <c r="H2289">
        <f>IF(E2289,D2289,10^9)</f>
        <v/>
      </c>
    </row>
    <row r="2290">
      <c r="A2290" t="n">
        <v>2282</v>
      </c>
      <c r="B2290" t="n">
        <v>0</v>
      </c>
      <c r="C2290" t="n">
        <v>0</v>
      </c>
      <c r="D2290" t="n">
        <v>2488.670986889335</v>
      </c>
      <c r="E2290">
        <f>C2290&lt;0.05</f>
        <v/>
      </c>
      <c r="F2290">
        <f>A2290=$B$5</f>
        <v/>
      </c>
      <c r="G2290">
        <f>IF(E2290,A2290,10^9)</f>
        <v/>
      </c>
      <c r="H2290">
        <f>IF(E2290,D2290,10^9)</f>
        <v/>
      </c>
    </row>
    <row r="2291">
      <c r="A2291" t="n">
        <v>2283</v>
      </c>
      <c r="B2291" t="n">
        <v>0</v>
      </c>
      <c r="C2291" t="n">
        <v>0</v>
      </c>
      <c r="D2291" t="n">
        <v>2489.670986889335</v>
      </c>
      <c r="E2291">
        <f>C2291&lt;0.05</f>
        <v/>
      </c>
      <c r="F2291">
        <f>A2291=$B$5</f>
        <v/>
      </c>
      <c r="G2291">
        <f>IF(E2291,A2291,10^9)</f>
        <v/>
      </c>
      <c r="H2291">
        <f>IF(E2291,D2291,10^9)</f>
        <v/>
      </c>
    </row>
    <row r="2292">
      <c r="A2292" t="n">
        <v>2284</v>
      </c>
      <c r="B2292" t="n">
        <v>0</v>
      </c>
      <c r="C2292" t="n">
        <v>0</v>
      </c>
      <c r="D2292" t="n">
        <v>2490.670986889335</v>
      </c>
      <c r="E2292">
        <f>C2292&lt;0.05</f>
        <v/>
      </c>
      <c r="F2292">
        <f>A2292=$B$5</f>
        <v/>
      </c>
      <c r="G2292">
        <f>IF(E2292,A2292,10^9)</f>
        <v/>
      </c>
      <c r="H2292">
        <f>IF(E2292,D2292,10^9)</f>
        <v/>
      </c>
    </row>
    <row r="2293">
      <c r="A2293" t="n">
        <v>2285</v>
      </c>
      <c r="B2293" t="n">
        <v>0</v>
      </c>
      <c r="C2293" t="n">
        <v>0</v>
      </c>
      <c r="D2293" t="n">
        <v>2491.670986889335</v>
      </c>
      <c r="E2293">
        <f>C2293&lt;0.05</f>
        <v/>
      </c>
      <c r="F2293">
        <f>A2293=$B$5</f>
        <v/>
      </c>
      <c r="G2293">
        <f>IF(E2293,A2293,10^9)</f>
        <v/>
      </c>
      <c r="H2293">
        <f>IF(E2293,D2293,10^9)</f>
        <v/>
      </c>
    </row>
    <row r="2294">
      <c r="A2294" t="n">
        <v>2286</v>
      </c>
      <c r="B2294" t="n">
        <v>0</v>
      </c>
      <c r="C2294" t="n">
        <v>0</v>
      </c>
      <c r="D2294" t="n">
        <v>2492.670986889335</v>
      </c>
      <c r="E2294">
        <f>C2294&lt;0.05</f>
        <v/>
      </c>
      <c r="F2294">
        <f>A2294=$B$5</f>
        <v/>
      </c>
      <c r="G2294">
        <f>IF(E2294,A2294,10^9)</f>
        <v/>
      </c>
      <c r="H2294">
        <f>IF(E2294,D2294,10^9)</f>
        <v/>
      </c>
    </row>
    <row r="2295">
      <c r="A2295" t="n">
        <v>2287</v>
      </c>
      <c r="B2295" t="n">
        <v>0</v>
      </c>
      <c r="C2295" t="n">
        <v>0</v>
      </c>
      <c r="D2295" t="n">
        <v>2493.670986889335</v>
      </c>
      <c r="E2295">
        <f>C2295&lt;0.05</f>
        <v/>
      </c>
      <c r="F2295">
        <f>A2295=$B$5</f>
        <v/>
      </c>
      <c r="G2295">
        <f>IF(E2295,A2295,10^9)</f>
        <v/>
      </c>
      <c r="H2295">
        <f>IF(E2295,D2295,10^9)</f>
        <v/>
      </c>
    </row>
    <row r="2296">
      <c r="A2296" t="n">
        <v>2288</v>
      </c>
      <c r="B2296" t="n">
        <v>0</v>
      </c>
      <c r="C2296" t="n">
        <v>0</v>
      </c>
      <c r="D2296" t="n">
        <v>2494.670986889335</v>
      </c>
      <c r="E2296">
        <f>C2296&lt;0.05</f>
        <v/>
      </c>
      <c r="F2296">
        <f>A2296=$B$5</f>
        <v/>
      </c>
      <c r="G2296">
        <f>IF(E2296,A2296,10^9)</f>
        <v/>
      </c>
      <c r="H2296">
        <f>IF(E2296,D2296,10^9)</f>
        <v/>
      </c>
    </row>
    <row r="2297">
      <c r="A2297" t="n">
        <v>2289</v>
      </c>
      <c r="B2297" t="n">
        <v>0</v>
      </c>
      <c r="C2297" t="n">
        <v>0</v>
      </c>
      <c r="D2297" t="n">
        <v>2495.670986889335</v>
      </c>
      <c r="E2297">
        <f>C2297&lt;0.05</f>
        <v/>
      </c>
      <c r="F2297">
        <f>A2297=$B$5</f>
        <v/>
      </c>
      <c r="G2297">
        <f>IF(E2297,A2297,10^9)</f>
        <v/>
      </c>
      <c r="H2297">
        <f>IF(E2297,D2297,10^9)</f>
        <v/>
      </c>
    </row>
    <row r="2298">
      <c r="A2298" t="n">
        <v>2290</v>
      </c>
      <c r="B2298" t="n">
        <v>0</v>
      </c>
      <c r="C2298" t="n">
        <v>0</v>
      </c>
      <c r="D2298" t="n">
        <v>2496.670986889335</v>
      </c>
      <c r="E2298">
        <f>C2298&lt;0.05</f>
        <v/>
      </c>
      <c r="F2298">
        <f>A2298=$B$5</f>
        <v/>
      </c>
      <c r="G2298">
        <f>IF(E2298,A2298,10^9)</f>
        <v/>
      </c>
      <c r="H2298">
        <f>IF(E2298,D2298,10^9)</f>
        <v/>
      </c>
    </row>
    <row r="2299">
      <c r="A2299" t="n">
        <v>2291</v>
      </c>
      <c r="B2299" t="n">
        <v>0</v>
      </c>
      <c r="C2299" t="n">
        <v>0</v>
      </c>
      <c r="D2299" t="n">
        <v>2497.670986889335</v>
      </c>
      <c r="E2299">
        <f>C2299&lt;0.05</f>
        <v/>
      </c>
      <c r="F2299">
        <f>A2299=$B$5</f>
        <v/>
      </c>
      <c r="G2299">
        <f>IF(E2299,A2299,10^9)</f>
        <v/>
      </c>
      <c r="H2299">
        <f>IF(E2299,D2299,10^9)</f>
        <v/>
      </c>
    </row>
    <row r="2300">
      <c r="A2300" t="n">
        <v>2292</v>
      </c>
      <c r="B2300" t="n">
        <v>0</v>
      </c>
      <c r="C2300" t="n">
        <v>0</v>
      </c>
      <c r="D2300" t="n">
        <v>2498.670986889335</v>
      </c>
      <c r="E2300">
        <f>C2300&lt;0.05</f>
        <v/>
      </c>
      <c r="F2300">
        <f>A2300=$B$5</f>
        <v/>
      </c>
      <c r="G2300">
        <f>IF(E2300,A2300,10^9)</f>
        <v/>
      </c>
      <c r="H2300">
        <f>IF(E2300,D2300,10^9)</f>
        <v/>
      </c>
    </row>
    <row r="2301">
      <c r="A2301" t="n">
        <v>2293</v>
      </c>
      <c r="B2301" t="n">
        <v>0</v>
      </c>
      <c r="C2301" t="n">
        <v>0</v>
      </c>
      <c r="D2301" t="n">
        <v>2499.670986889335</v>
      </c>
      <c r="E2301">
        <f>C2301&lt;0.05</f>
        <v/>
      </c>
      <c r="F2301">
        <f>A2301=$B$5</f>
        <v/>
      </c>
      <c r="G2301">
        <f>IF(E2301,A2301,10^9)</f>
        <v/>
      </c>
      <c r="H2301">
        <f>IF(E2301,D2301,10^9)</f>
        <v/>
      </c>
    </row>
    <row r="2302">
      <c r="A2302" t="n">
        <v>2294</v>
      </c>
      <c r="B2302" t="n">
        <v>0</v>
      </c>
      <c r="C2302" t="n">
        <v>0</v>
      </c>
      <c r="D2302" t="n">
        <v>2500.670986889335</v>
      </c>
      <c r="E2302">
        <f>C2302&lt;0.05</f>
        <v/>
      </c>
      <c r="F2302">
        <f>A2302=$B$5</f>
        <v/>
      </c>
      <c r="G2302">
        <f>IF(E2302,A2302,10^9)</f>
        <v/>
      </c>
      <c r="H2302">
        <f>IF(E2302,D2302,10^9)</f>
        <v/>
      </c>
    </row>
    <row r="2303">
      <c r="A2303" t="n">
        <v>2295</v>
      </c>
      <c r="B2303" t="n">
        <v>0</v>
      </c>
      <c r="C2303" t="n">
        <v>0</v>
      </c>
      <c r="D2303" t="n">
        <v>2501.670986889335</v>
      </c>
      <c r="E2303">
        <f>C2303&lt;0.05</f>
        <v/>
      </c>
      <c r="F2303">
        <f>A2303=$B$5</f>
        <v/>
      </c>
      <c r="G2303">
        <f>IF(E2303,A2303,10^9)</f>
        <v/>
      </c>
      <c r="H2303">
        <f>IF(E2303,D2303,10^9)</f>
        <v/>
      </c>
    </row>
    <row r="2304">
      <c r="A2304" t="n">
        <v>2296</v>
      </c>
      <c r="B2304" t="n">
        <v>0</v>
      </c>
      <c r="C2304" t="n">
        <v>0</v>
      </c>
      <c r="D2304" t="n">
        <v>2502.670986889335</v>
      </c>
      <c r="E2304">
        <f>C2304&lt;0.05</f>
        <v/>
      </c>
      <c r="F2304">
        <f>A2304=$B$5</f>
        <v/>
      </c>
      <c r="G2304">
        <f>IF(E2304,A2304,10^9)</f>
        <v/>
      </c>
      <c r="H2304">
        <f>IF(E2304,D2304,10^9)</f>
        <v/>
      </c>
    </row>
    <row r="2305">
      <c r="A2305" t="n">
        <v>2297</v>
      </c>
      <c r="B2305" t="n">
        <v>0</v>
      </c>
      <c r="C2305" t="n">
        <v>0</v>
      </c>
      <c r="D2305" t="n">
        <v>2503.670986889335</v>
      </c>
      <c r="E2305">
        <f>C2305&lt;0.05</f>
        <v/>
      </c>
      <c r="F2305">
        <f>A2305=$B$5</f>
        <v/>
      </c>
      <c r="G2305">
        <f>IF(E2305,A2305,10^9)</f>
        <v/>
      </c>
      <c r="H2305">
        <f>IF(E2305,D2305,10^9)</f>
        <v/>
      </c>
    </row>
    <row r="2306">
      <c r="A2306" t="n">
        <v>2298</v>
      </c>
      <c r="B2306" t="n">
        <v>0</v>
      </c>
      <c r="C2306" t="n">
        <v>0</v>
      </c>
      <c r="D2306" t="n">
        <v>2504.670986889335</v>
      </c>
      <c r="E2306">
        <f>C2306&lt;0.05</f>
        <v/>
      </c>
      <c r="F2306">
        <f>A2306=$B$5</f>
        <v/>
      </c>
      <c r="G2306">
        <f>IF(E2306,A2306,10^9)</f>
        <v/>
      </c>
      <c r="H2306">
        <f>IF(E2306,D2306,10^9)</f>
        <v/>
      </c>
    </row>
    <row r="2307">
      <c r="A2307" t="n">
        <v>2299</v>
      </c>
      <c r="B2307" t="n">
        <v>0</v>
      </c>
      <c r="C2307" t="n">
        <v>0</v>
      </c>
      <c r="D2307" t="n">
        <v>2505.670986889335</v>
      </c>
      <c r="E2307">
        <f>C2307&lt;0.05</f>
        <v/>
      </c>
      <c r="F2307">
        <f>A2307=$B$5</f>
        <v/>
      </c>
      <c r="G2307">
        <f>IF(E2307,A2307,10^9)</f>
        <v/>
      </c>
      <c r="H2307">
        <f>IF(E2307,D2307,10^9)</f>
        <v/>
      </c>
    </row>
    <row r="2308">
      <c r="A2308" t="n">
        <v>2300</v>
      </c>
      <c r="B2308" t="n">
        <v>0</v>
      </c>
      <c r="C2308" t="n">
        <v>0</v>
      </c>
      <c r="D2308" t="n">
        <v>2506.670986889335</v>
      </c>
      <c r="E2308">
        <f>C2308&lt;0.05</f>
        <v/>
      </c>
      <c r="F2308">
        <f>A2308=$B$5</f>
        <v/>
      </c>
      <c r="G2308">
        <f>IF(E2308,A2308,10^9)</f>
        <v/>
      </c>
      <c r="H2308">
        <f>IF(E2308,D2308,10^9)</f>
        <v/>
      </c>
    </row>
    <row r="2309">
      <c r="A2309" t="n">
        <v>2301</v>
      </c>
      <c r="B2309" t="n">
        <v>0</v>
      </c>
      <c r="C2309" t="n">
        <v>0</v>
      </c>
      <c r="D2309" t="n">
        <v>2507.670986889335</v>
      </c>
      <c r="E2309">
        <f>C2309&lt;0.05</f>
        <v/>
      </c>
      <c r="F2309">
        <f>A2309=$B$5</f>
        <v/>
      </c>
      <c r="G2309">
        <f>IF(E2309,A2309,10^9)</f>
        <v/>
      </c>
      <c r="H2309">
        <f>IF(E2309,D2309,10^9)</f>
        <v/>
      </c>
    </row>
    <row r="2310">
      <c r="A2310" t="n">
        <v>2302</v>
      </c>
      <c r="B2310" t="n">
        <v>0</v>
      </c>
      <c r="C2310" t="n">
        <v>0</v>
      </c>
      <c r="D2310" t="n">
        <v>2508.670986889335</v>
      </c>
      <c r="E2310">
        <f>C2310&lt;0.05</f>
        <v/>
      </c>
      <c r="F2310">
        <f>A2310=$B$5</f>
        <v/>
      </c>
      <c r="G2310">
        <f>IF(E2310,A2310,10^9)</f>
        <v/>
      </c>
      <c r="H2310">
        <f>IF(E2310,D2310,10^9)</f>
        <v/>
      </c>
    </row>
    <row r="2311">
      <c r="A2311" t="n">
        <v>2303</v>
      </c>
      <c r="B2311" t="n">
        <v>0</v>
      </c>
      <c r="C2311" t="n">
        <v>0</v>
      </c>
      <c r="D2311" t="n">
        <v>2509.670986889335</v>
      </c>
      <c r="E2311">
        <f>C2311&lt;0.05</f>
        <v/>
      </c>
      <c r="F2311">
        <f>A2311=$B$5</f>
        <v/>
      </c>
      <c r="G2311">
        <f>IF(E2311,A2311,10^9)</f>
        <v/>
      </c>
      <c r="H2311">
        <f>IF(E2311,D2311,10^9)</f>
        <v/>
      </c>
    </row>
    <row r="2312">
      <c r="A2312" t="n">
        <v>2304</v>
      </c>
      <c r="B2312" t="n">
        <v>0</v>
      </c>
      <c r="C2312" t="n">
        <v>0</v>
      </c>
      <c r="D2312" t="n">
        <v>2510.670986889335</v>
      </c>
      <c r="E2312">
        <f>C2312&lt;0.05</f>
        <v/>
      </c>
      <c r="F2312">
        <f>A2312=$B$5</f>
        <v/>
      </c>
      <c r="G2312">
        <f>IF(E2312,A2312,10^9)</f>
        <v/>
      </c>
      <c r="H2312">
        <f>IF(E2312,D2312,10^9)</f>
        <v/>
      </c>
    </row>
    <row r="2313">
      <c r="A2313" t="n">
        <v>2305</v>
      </c>
      <c r="B2313" t="n">
        <v>0</v>
      </c>
      <c r="C2313" t="n">
        <v>0</v>
      </c>
      <c r="D2313" t="n">
        <v>2511.670986889335</v>
      </c>
      <c r="E2313">
        <f>C2313&lt;0.05</f>
        <v/>
      </c>
      <c r="F2313">
        <f>A2313=$B$5</f>
        <v/>
      </c>
      <c r="G2313">
        <f>IF(E2313,A2313,10^9)</f>
        <v/>
      </c>
      <c r="H2313">
        <f>IF(E2313,D2313,10^9)</f>
        <v/>
      </c>
    </row>
    <row r="2314">
      <c r="A2314" t="n">
        <v>2306</v>
      </c>
      <c r="B2314" t="n">
        <v>0</v>
      </c>
      <c r="C2314" t="n">
        <v>0</v>
      </c>
      <c r="D2314" t="n">
        <v>2512.670986889335</v>
      </c>
      <c r="E2314">
        <f>C2314&lt;0.05</f>
        <v/>
      </c>
      <c r="F2314">
        <f>A2314=$B$5</f>
        <v/>
      </c>
      <c r="G2314">
        <f>IF(E2314,A2314,10^9)</f>
        <v/>
      </c>
      <c r="H2314">
        <f>IF(E2314,D2314,10^9)</f>
        <v/>
      </c>
    </row>
    <row r="2315">
      <c r="A2315" t="n">
        <v>2307</v>
      </c>
      <c r="B2315" t="n">
        <v>0</v>
      </c>
      <c r="C2315" t="n">
        <v>0</v>
      </c>
      <c r="D2315" t="n">
        <v>2513.670986889335</v>
      </c>
      <c r="E2315">
        <f>C2315&lt;0.05</f>
        <v/>
      </c>
      <c r="F2315">
        <f>A2315=$B$5</f>
        <v/>
      </c>
      <c r="G2315">
        <f>IF(E2315,A2315,10^9)</f>
        <v/>
      </c>
      <c r="H2315">
        <f>IF(E2315,D2315,10^9)</f>
        <v/>
      </c>
    </row>
    <row r="2316">
      <c r="A2316" t="n">
        <v>2308</v>
      </c>
      <c r="B2316" t="n">
        <v>0</v>
      </c>
      <c r="C2316" t="n">
        <v>0</v>
      </c>
      <c r="D2316" t="n">
        <v>2514.670986889335</v>
      </c>
      <c r="E2316">
        <f>C2316&lt;0.05</f>
        <v/>
      </c>
      <c r="F2316">
        <f>A2316=$B$5</f>
        <v/>
      </c>
      <c r="G2316">
        <f>IF(E2316,A2316,10^9)</f>
        <v/>
      </c>
      <c r="H2316">
        <f>IF(E2316,D2316,10^9)</f>
        <v/>
      </c>
    </row>
    <row r="2317">
      <c r="A2317" t="n">
        <v>2309</v>
      </c>
      <c r="B2317" t="n">
        <v>0</v>
      </c>
      <c r="C2317" t="n">
        <v>0</v>
      </c>
      <c r="D2317" t="n">
        <v>2515.670986889335</v>
      </c>
      <c r="E2317">
        <f>C2317&lt;0.05</f>
        <v/>
      </c>
      <c r="F2317">
        <f>A2317=$B$5</f>
        <v/>
      </c>
      <c r="G2317">
        <f>IF(E2317,A2317,10^9)</f>
        <v/>
      </c>
      <c r="H2317">
        <f>IF(E2317,D2317,10^9)</f>
        <v/>
      </c>
    </row>
    <row r="2318">
      <c r="A2318" t="n">
        <v>2310</v>
      </c>
      <c r="B2318" t="n">
        <v>0</v>
      </c>
      <c r="C2318" t="n">
        <v>0</v>
      </c>
      <c r="D2318" t="n">
        <v>2516.670986889335</v>
      </c>
      <c r="E2318">
        <f>C2318&lt;0.05</f>
        <v/>
      </c>
      <c r="F2318">
        <f>A2318=$B$5</f>
        <v/>
      </c>
      <c r="G2318">
        <f>IF(E2318,A2318,10^9)</f>
        <v/>
      </c>
      <c r="H2318">
        <f>IF(E2318,D2318,10^9)</f>
        <v/>
      </c>
    </row>
    <row r="2319">
      <c r="A2319" t="n">
        <v>2311</v>
      </c>
      <c r="B2319" t="n">
        <v>0</v>
      </c>
      <c r="C2319" t="n">
        <v>0</v>
      </c>
      <c r="D2319" t="n">
        <v>2517.670986889335</v>
      </c>
      <c r="E2319">
        <f>C2319&lt;0.05</f>
        <v/>
      </c>
      <c r="F2319">
        <f>A2319=$B$5</f>
        <v/>
      </c>
      <c r="G2319">
        <f>IF(E2319,A2319,10^9)</f>
        <v/>
      </c>
      <c r="H2319">
        <f>IF(E2319,D2319,10^9)</f>
        <v/>
      </c>
    </row>
    <row r="2320">
      <c r="A2320" t="n">
        <v>2312</v>
      </c>
      <c r="B2320" t="n">
        <v>0</v>
      </c>
      <c r="C2320" t="n">
        <v>0</v>
      </c>
      <c r="D2320" t="n">
        <v>2518.670986889335</v>
      </c>
      <c r="E2320">
        <f>C2320&lt;0.05</f>
        <v/>
      </c>
      <c r="F2320">
        <f>A2320=$B$5</f>
        <v/>
      </c>
      <c r="G2320">
        <f>IF(E2320,A2320,10^9)</f>
        <v/>
      </c>
      <c r="H2320">
        <f>IF(E2320,D2320,10^9)</f>
        <v/>
      </c>
    </row>
    <row r="2321">
      <c r="A2321" t="n">
        <v>2313</v>
      </c>
      <c r="B2321" t="n">
        <v>0</v>
      </c>
      <c r="C2321" t="n">
        <v>0</v>
      </c>
      <c r="D2321" t="n">
        <v>2519.670986889335</v>
      </c>
      <c r="E2321">
        <f>C2321&lt;0.05</f>
        <v/>
      </c>
      <c r="F2321">
        <f>A2321=$B$5</f>
        <v/>
      </c>
      <c r="G2321">
        <f>IF(E2321,A2321,10^9)</f>
        <v/>
      </c>
      <c r="H2321">
        <f>IF(E2321,D2321,10^9)</f>
        <v/>
      </c>
    </row>
    <row r="2322">
      <c r="A2322" t="n">
        <v>2314</v>
      </c>
      <c r="B2322" t="n">
        <v>0</v>
      </c>
      <c r="C2322" t="n">
        <v>0</v>
      </c>
      <c r="D2322" t="n">
        <v>2520.670986889335</v>
      </c>
      <c r="E2322">
        <f>C2322&lt;0.05</f>
        <v/>
      </c>
      <c r="F2322">
        <f>A2322=$B$5</f>
        <v/>
      </c>
      <c r="G2322">
        <f>IF(E2322,A2322,10^9)</f>
        <v/>
      </c>
      <c r="H2322">
        <f>IF(E2322,D2322,10^9)</f>
        <v/>
      </c>
    </row>
    <row r="2323">
      <c r="A2323" t="n">
        <v>2315</v>
      </c>
      <c r="B2323" t="n">
        <v>0</v>
      </c>
      <c r="C2323" t="n">
        <v>0</v>
      </c>
      <c r="D2323" t="n">
        <v>2521.670986889335</v>
      </c>
      <c r="E2323">
        <f>C2323&lt;0.05</f>
        <v/>
      </c>
      <c r="F2323">
        <f>A2323=$B$5</f>
        <v/>
      </c>
      <c r="G2323">
        <f>IF(E2323,A2323,10^9)</f>
        <v/>
      </c>
      <c r="H2323">
        <f>IF(E2323,D2323,10^9)</f>
        <v/>
      </c>
    </row>
    <row r="2324">
      <c r="A2324" t="n">
        <v>2316</v>
      </c>
      <c r="B2324" t="n">
        <v>0</v>
      </c>
      <c r="C2324" t="n">
        <v>0</v>
      </c>
      <c r="D2324" t="n">
        <v>2522.670986889335</v>
      </c>
      <c r="E2324">
        <f>C2324&lt;0.05</f>
        <v/>
      </c>
      <c r="F2324">
        <f>A2324=$B$5</f>
        <v/>
      </c>
      <c r="G2324">
        <f>IF(E2324,A2324,10^9)</f>
        <v/>
      </c>
      <c r="H2324">
        <f>IF(E2324,D2324,10^9)</f>
        <v/>
      </c>
    </row>
    <row r="2325">
      <c r="A2325" t="n">
        <v>2317</v>
      </c>
      <c r="B2325" t="n">
        <v>0</v>
      </c>
      <c r="C2325" t="n">
        <v>0</v>
      </c>
      <c r="D2325" t="n">
        <v>2523.670986889335</v>
      </c>
      <c r="E2325">
        <f>C2325&lt;0.05</f>
        <v/>
      </c>
      <c r="F2325">
        <f>A2325=$B$5</f>
        <v/>
      </c>
      <c r="G2325">
        <f>IF(E2325,A2325,10^9)</f>
        <v/>
      </c>
      <c r="H2325">
        <f>IF(E2325,D2325,10^9)</f>
        <v/>
      </c>
    </row>
    <row r="2326">
      <c r="A2326" t="n">
        <v>2318</v>
      </c>
      <c r="B2326" t="n">
        <v>0</v>
      </c>
      <c r="C2326" t="n">
        <v>0</v>
      </c>
      <c r="D2326" t="n">
        <v>2524.670986889335</v>
      </c>
      <c r="E2326">
        <f>C2326&lt;0.05</f>
        <v/>
      </c>
      <c r="F2326">
        <f>A2326=$B$5</f>
        <v/>
      </c>
      <c r="G2326">
        <f>IF(E2326,A2326,10^9)</f>
        <v/>
      </c>
      <c r="H2326">
        <f>IF(E2326,D2326,10^9)</f>
        <v/>
      </c>
    </row>
    <row r="2327">
      <c r="A2327" t="n">
        <v>2319</v>
      </c>
      <c r="B2327" t="n">
        <v>0</v>
      </c>
      <c r="C2327" t="n">
        <v>0</v>
      </c>
      <c r="D2327" t="n">
        <v>2525.670986889335</v>
      </c>
      <c r="E2327">
        <f>C2327&lt;0.05</f>
        <v/>
      </c>
      <c r="F2327">
        <f>A2327=$B$5</f>
        <v/>
      </c>
      <c r="G2327">
        <f>IF(E2327,A2327,10^9)</f>
        <v/>
      </c>
      <c r="H2327">
        <f>IF(E2327,D2327,10^9)</f>
        <v/>
      </c>
    </row>
    <row r="2328">
      <c r="A2328" t="n">
        <v>2320</v>
      </c>
      <c r="B2328" t="n">
        <v>0</v>
      </c>
      <c r="C2328" t="n">
        <v>0</v>
      </c>
      <c r="D2328" t="n">
        <v>2526.670986889335</v>
      </c>
      <c r="E2328">
        <f>C2328&lt;0.05</f>
        <v/>
      </c>
      <c r="F2328">
        <f>A2328=$B$5</f>
        <v/>
      </c>
      <c r="G2328">
        <f>IF(E2328,A2328,10^9)</f>
        <v/>
      </c>
      <c r="H2328">
        <f>IF(E2328,D2328,10^9)</f>
        <v/>
      </c>
    </row>
    <row r="2329">
      <c r="A2329" t="n">
        <v>2321</v>
      </c>
      <c r="B2329" t="n">
        <v>0</v>
      </c>
      <c r="C2329" t="n">
        <v>0</v>
      </c>
      <c r="D2329" t="n">
        <v>2527.670986889335</v>
      </c>
      <c r="E2329">
        <f>C2329&lt;0.05</f>
        <v/>
      </c>
      <c r="F2329">
        <f>A2329=$B$5</f>
        <v/>
      </c>
      <c r="G2329">
        <f>IF(E2329,A2329,10^9)</f>
        <v/>
      </c>
      <c r="H2329">
        <f>IF(E2329,D2329,10^9)</f>
        <v/>
      </c>
    </row>
    <row r="2330">
      <c r="A2330" t="n">
        <v>2322</v>
      </c>
      <c r="B2330" t="n">
        <v>0</v>
      </c>
      <c r="C2330" t="n">
        <v>0</v>
      </c>
      <c r="D2330" t="n">
        <v>2528.670986889335</v>
      </c>
      <c r="E2330">
        <f>C2330&lt;0.05</f>
        <v/>
      </c>
      <c r="F2330">
        <f>A2330=$B$5</f>
        <v/>
      </c>
      <c r="G2330">
        <f>IF(E2330,A2330,10^9)</f>
        <v/>
      </c>
      <c r="H2330">
        <f>IF(E2330,D2330,10^9)</f>
        <v/>
      </c>
    </row>
    <row r="2331">
      <c r="A2331" t="n">
        <v>2323</v>
      </c>
      <c r="B2331" t="n">
        <v>0</v>
      </c>
      <c r="C2331" t="n">
        <v>0</v>
      </c>
      <c r="D2331" t="n">
        <v>2529.670986889335</v>
      </c>
      <c r="E2331">
        <f>C2331&lt;0.05</f>
        <v/>
      </c>
      <c r="F2331">
        <f>A2331=$B$5</f>
        <v/>
      </c>
      <c r="G2331">
        <f>IF(E2331,A2331,10^9)</f>
        <v/>
      </c>
      <c r="H2331">
        <f>IF(E2331,D2331,10^9)</f>
        <v/>
      </c>
    </row>
    <row r="2332">
      <c r="A2332" t="n">
        <v>2324</v>
      </c>
      <c r="B2332" t="n">
        <v>0</v>
      </c>
      <c r="C2332" t="n">
        <v>0</v>
      </c>
      <c r="D2332" t="n">
        <v>2530.670986889335</v>
      </c>
      <c r="E2332">
        <f>C2332&lt;0.05</f>
        <v/>
      </c>
      <c r="F2332">
        <f>A2332=$B$5</f>
        <v/>
      </c>
      <c r="G2332">
        <f>IF(E2332,A2332,10^9)</f>
        <v/>
      </c>
      <c r="H2332">
        <f>IF(E2332,D2332,10^9)</f>
        <v/>
      </c>
    </row>
    <row r="2333">
      <c r="A2333" t="n">
        <v>2325</v>
      </c>
      <c r="B2333" t="n">
        <v>0</v>
      </c>
      <c r="C2333" t="n">
        <v>0</v>
      </c>
      <c r="D2333" t="n">
        <v>2531.670986889335</v>
      </c>
      <c r="E2333">
        <f>C2333&lt;0.05</f>
        <v/>
      </c>
      <c r="F2333">
        <f>A2333=$B$5</f>
        <v/>
      </c>
      <c r="G2333">
        <f>IF(E2333,A2333,10^9)</f>
        <v/>
      </c>
      <c r="H2333">
        <f>IF(E2333,D2333,10^9)</f>
        <v/>
      </c>
    </row>
    <row r="2334">
      <c r="A2334" t="n">
        <v>2326</v>
      </c>
      <c r="B2334" t="n">
        <v>0</v>
      </c>
      <c r="C2334" t="n">
        <v>0</v>
      </c>
      <c r="D2334" t="n">
        <v>2532.670986889335</v>
      </c>
      <c r="E2334">
        <f>C2334&lt;0.05</f>
        <v/>
      </c>
      <c r="F2334">
        <f>A2334=$B$5</f>
        <v/>
      </c>
      <c r="G2334">
        <f>IF(E2334,A2334,10^9)</f>
        <v/>
      </c>
      <c r="H2334">
        <f>IF(E2334,D2334,10^9)</f>
        <v/>
      </c>
    </row>
    <row r="2335">
      <c r="A2335" t="n">
        <v>2327</v>
      </c>
      <c r="B2335" t="n">
        <v>0</v>
      </c>
      <c r="C2335" t="n">
        <v>0</v>
      </c>
      <c r="D2335" t="n">
        <v>2533.670986889335</v>
      </c>
      <c r="E2335">
        <f>C2335&lt;0.05</f>
        <v/>
      </c>
      <c r="F2335">
        <f>A2335=$B$5</f>
        <v/>
      </c>
      <c r="G2335">
        <f>IF(E2335,A2335,10^9)</f>
        <v/>
      </c>
      <c r="H2335">
        <f>IF(E2335,D2335,10^9)</f>
        <v/>
      </c>
    </row>
    <row r="2336">
      <c r="A2336" t="n">
        <v>2328</v>
      </c>
      <c r="B2336" t="n">
        <v>0</v>
      </c>
      <c r="C2336" t="n">
        <v>0</v>
      </c>
      <c r="D2336" t="n">
        <v>2534.670986889335</v>
      </c>
      <c r="E2336">
        <f>C2336&lt;0.05</f>
        <v/>
      </c>
      <c r="F2336">
        <f>A2336=$B$5</f>
        <v/>
      </c>
      <c r="G2336">
        <f>IF(E2336,A2336,10^9)</f>
        <v/>
      </c>
      <c r="H2336">
        <f>IF(E2336,D2336,10^9)</f>
        <v/>
      </c>
    </row>
    <row r="2337">
      <c r="A2337" t="n">
        <v>2329</v>
      </c>
      <c r="B2337" t="n">
        <v>0</v>
      </c>
      <c r="C2337" t="n">
        <v>0</v>
      </c>
      <c r="D2337" t="n">
        <v>2535.670986889335</v>
      </c>
      <c r="E2337">
        <f>C2337&lt;0.05</f>
        <v/>
      </c>
      <c r="F2337">
        <f>A2337=$B$5</f>
        <v/>
      </c>
      <c r="G2337">
        <f>IF(E2337,A2337,10^9)</f>
        <v/>
      </c>
      <c r="H2337">
        <f>IF(E2337,D2337,10^9)</f>
        <v/>
      </c>
    </row>
    <row r="2338">
      <c r="A2338" t="n">
        <v>2330</v>
      </c>
      <c r="B2338" t="n">
        <v>0</v>
      </c>
      <c r="C2338" t="n">
        <v>0</v>
      </c>
      <c r="D2338" t="n">
        <v>2536.670986889335</v>
      </c>
      <c r="E2338">
        <f>C2338&lt;0.05</f>
        <v/>
      </c>
      <c r="F2338">
        <f>A2338=$B$5</f>
        <v/>
      </c>
      <c r="G2338">
        <f>IF(E2338,A2338,10^9)</f>
        <v/>
      </c>
      <c r="H2338">
        <f>IF(E2338,D2338,10^9)</f>
        <v/>
      </c>
    </row>
    <row r="2339">
      <c r="A2339" t="n">
        <v>2331</v>
      </c>
      <c r="B2339" t="n">
        <v>0</v>
      </c>
      <c r="C2339" t="n">
        <v>0</v>
      </c>
      <c r="D2339" t="n">
        <v>2537.670986889335</v>
      </c>
      <c r="E2339">
        <f>C2339&lt;0.05</f>
        <v/>
      </c>
      <c r="F2339">
        <f>A2339=$B$5</f>
        <v/>
      </c>
      <c r="G2339">
        <f>IF(E2339,A2339,10^9)</f>
        <v/>
      </c>
      <c r="H2339">
        <f>IF(E2339,D2339,10^9)</f>
        <v/>
      </c>
    </row>
    <row r="2340">
      <c r="A2340" t="n">
        <v>2332</v>
      </c>
      <c r="B2340" t="n">
        <v>0</v>
      </c>
      <c r="C2340" t="n">
        <v>0</v>
      </c>
      <c r="D2340" t="n">
        <v>2538.670986889335</v>
      </c>
      <c r="E2340">
        <f>C2340&lt;0.05</f>
        <v/>
      </c>
      <c r="F2340">
        <f>A2340=$B$5</f>
        <v/>
      </c>
      <c r="G2340">
        <f>IF(E2340,A2340,10^9)</f>
        <v/>
      </c>
      <c r="H2340">
        <f>IF(E2340,D2340,10^9)</f>
        <v/>
      </c>
    </row>
    <row r="2341">
      <c r="A2341" t="n">
        <v>2333</v>
      </c>
      <c r="B2341" t="n">
        <v>0</v>
      </c>
      <c r="C2341" t="n">
        <v>0</v>
      </c>
      <c r="D2341" t="n">
        <v>2539.670986889335</v>
      </c>
      <c r="E2341">
        <f>C2341&lt;0.05</f>
        <v/>
      </c>
      <c r="F2341">
        <f>A2341=$B$5</f>
        <v/>
      </c>
      <c r="G2341">
        <f>IF(E2341,A2341,10^9)</f>
        <v/>
      </c>
      <c r="H2341">
        <f>IF(E2341,D2341,10^9)</f>
        <v/>
      </c>
    </row>
    <row r="2342">
      <c r="A2342" t="n">
        <v>2334</v>
      </c>
      <c r="B2342" t="n">
        <v>0</v>
      </c>
      <c r="C2342" t="n">
        <v>0</v>
      </c>
      <c r="D2342" t="n">
        <v>2540.670986889335</v>
      </c>
      <c r="E2342">
        <f>C2342&lt;0.05</f>
        <v/>
      </c>
      <c r="F2342">
        <f>A2342=$B$5</f>
        <v/>
      </c>
      <c r="G2342">
        <f>IF(E2342,A2342,10^9)</f>
        <v/>
      </c>
      <c r="H2342">
        <f>IF(E2342,D2342,10^9)</f>
        <v/>
      </c>
    </row>
    <row r="2343">
      <c r="A2343" t="n">
        <v>2335</v>
      </c>
      <c r="B2343" t="n">
        <v>0</v>
      </c>
      <c r="C2343" t="n">
        <v>0</v>
      </c>
      <c r="D2343" t="n">
        <v>2541.670986889335</v>
      </c>
      <c r="E2343">
        <f>C2343&lt;0.05</f>
        <v/>
      </c>
      <c r="F2343">
        <f>A2343=$B$5</f>
        <v/>
      </c>
      <c r="G2343">
        <f>IF(E2343,A2343,10^9)</f>
        <v/>
      </c>
      <c r="H2343">
        <f>IF(E2343,D2343,10^9)</f>
        <v/>
      </c>
    </row>
    <row r="2344">
      <c r="A2344" t="n">
        <v>2336</v>
      </c>
      <c r="B2344" t="n">
        <v>0</v>
      </c>
      <c r="C2344" t="n">
        <v>0</v>
      </c>
      <c r="D2344" t="n">
        <v>2542.670986889335</v>
      </c>
      <c r="E2344">
        <f>C2344&lt;0.05</f>
        <v/>
      </c>
      <c r="F2344">
        <f>A2344=$B$5</f>
        <v/>
      </c>
      <c r="G2344">
        <f>IF(E2344,A2344,10^9)</f>
        <v/>
      </c>
      <c r="H2344">
        <f>IF(E2344,D2344,10^9)</f>
        <v/>
      </c>
    </row>
    <row r="2345">
      <c r="A2345" t="n">
        <v>2337</v>
      </c>
      <c r="B2345" t="n">
        <v>0</v>
      </c>
      <c r="C2345" t="n">
        <v>0</v>
      </c>
      <c r="D2345" t="n">
        <v>2543.670986889335</v>
      </c>
      <c r="E2345">
        <f>C2345&lt;0.05</f>
        <v/>
      </c>
      <c r="F2345">
        <f>A2345=$B$5</f>
        <v/>
      </c>
      <c r="G2345">
        <f>IF(E2345,A2345,10^9)</f>
        <v/>
      </c>
      <c r="H2345">
        <f>IF(E2345,D2345,10^9)</f>
        <v/>
      </c>
    </row>
    <row r="2346">
      <c r="A2346" t="n">
        <v>2338</v>
      </c>
      <c r="B2346" t="n">
        <v>0</v>
      </c>
      <c r="C2346" t="n">
        <v>0</v>
      </c>
      <c r="D2346" t="n">
        <v>2544.670986889335</v>
      </c>
      <c r="E2346">
        <f>C2346&lt;0.05</f>
        <v/>
      </c>
      <c r="F2346">
        <f>A2346=$B$5</f>
        <v/>
      </c>
      <c r="G2346">
        <f>IF(E2346,A2346,10^9)</f>
        <v/>
      </c>
      <c r="H2346">
        <f>IF(E2346,D2346,10^9)</f>
        <v/>
      </c>
    </row>
    <row r="2347">
      <c r="A2347" t="n">
        <v>2339</v>
      </c>
      <c r="B2347" t="n">
        <v>0</v>
      </c>
      <c r="C2347" t="n">
        <v>0</v>
      </c>
      <c r="D2347" t="n">
        <v>2545.670986889335</v>
      </c>
      <c r="E2347">
        <f>C2347&lt;0.05</f>
        <v/>
      </c>
      <c r="F2347">
        <f>A2347=$B$5</f>
        <v/>
      </c>
      <c r="G2347">
        <f>IF(E2347,A2347,10^9)</f>
        <v/>
      </c>
      <c r="H2347">
        <f>IF(E2347,D2347,10^9)</f>
        <v/>
      </c>
    </row>
    <row r="2348">
      <c r="A2348" t="n">
        <v>2340</v>
      </c>
      <c r="B2348" t="n">
        <v>0</v>
      </c>
      <c r="C2348" t="n">
        <v>0</v>
      </c>
      <c r="D2348" t="n">
        <v>2546.670986889335</v>
      </c>
      <c r="E2348">
        <f>C2348&lt;0.05</f>
        <v/>
      </c>
      <c r="F2348">
        <f>A2348=$B$5</f>
        <v/>
      </c>
      <c r="G2348">
        <f>IF(E2348,A2348,10^9)</f>
        <v/>
      </c>
      <c r="H2348">
        <f>IF(E2348,D2348,10^9)</f>
        <v/>
      </c>
    </row>
    <row r="2349">
      <c r="A2349" t="n">
        <v>2341</v>
      </c>
      <c r="B2349" t="n">
        <v>0</v>
      </c>
      <c r="C2349" t="n">
        <v>0</v>
      </c>
      <c r="D2349" t="n">
        <v>2547.670986889335</v>
      </c>
      <c r="E2349">
        <f>C2349&lt;0.05</f>
        <v/>
      </c>
      <c r="F2349">
        <f>A2349=$B$5</f>
        <v/>
      </c>
      <c r="G2349">
        <f>IF(E2349,A2349,10^9)</f>
        <v/>
      </c>
      <c r="H2349">
        <f>IF(E2349,D2349,10^9)</f>
        <v/>
      </c>
    </row>
    <row r="2350">
      <c r="A2350" t="n">
        <v>2342</v>
      </c>
      <c r="B2350" t="n">
        <v>0</v>
      </c>
      <c r="C2350" t="n">
        <v>0</v>
      </c>
      <c r="D2350" t="n">
        <v>2548.670986889335</v>
      </c>
      <c r="E2350">
        <f>C2350&lt;0.05</f>
        <v/>
      </c>
      <c r="F2350">
        <f>A2350=$B$5</f>
        <v/>
      </c>
      <c r="G2350">
        <f>IF(E2350,A2350,10^9)</f>
        <v/>
      </c>
      <c r="H2350">
        <f>IF(E2350,D2350,10^9)</f>
        <v/>
      </c>
    </row>
    <row r="2351">
      <c r="A2351" t="n">
        <v>2343</v>
      </c>
      <c r="B2351" t="n">
        <v>0</v>
      </c>
      <c r="C2351" t="n">
        <v>0</v>
      </c>
      <c r="D2351" t="n">
        <v>2549.670986889335</v>
      </c>
      <c r="E2351">
        <f>C2351&lt;0.05</f>
        <v/>
      </c>
      <c r="F2351">
        <f>A2351=$B$5</f>
        <v/>
      </c>
      <c r="G2351">
        <f>IF(E2351,A2351,10^9)</f>
        <v/>
      </c>
      <c r="H2351">
        <f>IF(E2351,D2351,10^9)</f>
        <v/>
      </c>
    </row>
    <row r="2352">
      <c r="A2352" t="n">
        <v>2344</v>
      </c>
      <c r="B2352" t="n">
        <v>0</v>
      </c>
      <c r="C2352" t="n">
        <v>0</v>
      </c>
      <c r="D2352" t="n">
        <v>2550.670986889335</v>
      </c>
      <c r="E2352">
        <f>C2352&lt;0.05</f>
        <v/>
      </c>
      <c r="F2352">
        <f>A2352=$B$5</f>
        <v/>
      </c>
      <c r="G2352">
        <f>IF(E2352,A2352,10^9)</f>
        <v/>
      </c>
      <c r="H2352">
        <f>IF(E2352,D2352,10^9)</f>
        <v/>
      </c>
    </row>
    <row r="2353">
      <c r="A2353" t="n">
        <v>2345</v>
      </c>
      <c r="B2353" t="n">
        <v>0</v>
      </c>
      <c r="C2353" t="n">
        <v>0</v>
      </c>
      <c r="D2353" t="n">
        <v>2551.670986889335</v>
      </c>
      <c r="E2353">
        <f>C2353&lt;0.05</f>
        <v/>
      </c>
      <c r="F2353">
        <f>A2353=$B$5</f>
        <v/>
      </c>
      <c r="G2353">
        <f>IF(E2353,A2353,10^9)</f>
        <v/>
      </c>
      <c r="H2353">
        <f>IF(E2353,D2353,10^9)</f>
        <v/>
      </c>
    </row>
    <row r="2354">
      <c r="A2354" t="n">
        <v>2346</v>
      </c>
      <c r="B2354" t="n">
        <v>0</v>
      </c>
      <c r="C2354" t="n">
        <v>0</v>
      </c>
      <c r="D2354" t="n">
        <v>2552.670986889335</v>
      </c>
      <c r="E2354">
        <f>C2354&lt;0.05</f>
        <v/>
      </c>
      <c r="F2354">
        <f>A2354=$B$5</f>
        <v/>
      </c>
      <c r="G2354">
        <f>IF(E2354,A2354,10^9)</f>
        <v/>
      </c>
      <c r="H2354">
        <f>IF(E2354,D2354,10^9)</f>
        <v/>
      </c>
    </row>
    <row r="2355">
      <c r="A2355" t="n">
        <v>2347</v>
      </c>
      <c r="B2355" t="n">
        <v>0</v>
      </c>
      <c r="C2355" t="n">
        <v>0</v>
      </c>
      <c r="D2355" t="n">
        <v>2553.670986889335</v>
      </c>
      <c r="E2355">
        <f>C2355&lt;0.05</f>
        <v/>
      </c>
      <c r="F2355">
        <f>A2355=$B$5</f>
        <v/>
      </c>
      <c r="G2355">
        <f>IF(E2355,A2355,10^9)</f>
        <v/>
      </c>
      <c r="H2355">
        <f>IF(E2355,D2355,10^9)</f>
        <v/>
      </c>
    </row>
    <row r="2356">
      <c r="A2356" t="n">
        <v>2348</v>
      </c>
      <c r="B2356" t="n">
        <v>0</v>
      </c>
      <c r="C2356" t="n">
        <v>0</v>
      </c>
      <c r="D2356" t="n">
        <v>2554.670986889335</v>
      </c>
      <c r="E2356">
        <f>C2356&lt;0.05</f>
        <v/>
      </c>
      <c r="F2356">
        <f>A2356=$B$5</f>
        <v/>
      </c>
      <c r="G2356">
        <f>IF(E2356,A2356,10^9)</f>
        <v/>
      </c>
      <c r="H2356">
        <f>IF(E2356,D2356,10^9)</f>
        <v/>
      </c>
    </row>
    <row r="2357">
      <c r="A2357" t="n">
        <v>2349</v>
      </c>
      <c r="B2357" t="n">
        <v>0</v>
      </c>
      <c r="C2357" t="n">
        <v>0</v>
      </c>
      <c r="D2357" t="n">
        <v>2555.670986889335</v>
      </c>
      <c r="E2357">
        <f>C2357&lt;0.05</f>
        <v/>
      </c>
      <c r="F2357">
        <f>A2357=$B$5</f>
        <v/>
      </c>
      <c r="G2357">
        <f>IF(E2357,A2357,10^9)</f>
        <v/>
      </c>
      <c r="H2357">
        <f>IF(E2357,D2357,10^9)</f>
        <v/>
      </c>
    </row>
    <row r="2358">
      <c r="A2358" t="n">
        <v>2350</v>
      </c>
      <c r="B2358" t="n">
        <v>0</v>
      </c>
      <c r="C2358" t="n">
        <v>0</v>
      </c>
      <c r="D2358" t="n">
        <v>2556.670986889335</v>
      </c>
      <c r="E2358">
        <f>C2358&lt;0.05</f>
        <v/>
      </c>
      <c r="F2358">
        <f>A2358=$B$5</f>
        <v/>
      </c>
      <c r="G2358">
        <f>IF(E2358,A2358,10^9)</f>
        <v/>
      </c>
      <c r="H2358">
        <f>IF(E2358,D2358,10^9)</f>
        <v/>
      </c>
    </row>
    <row r="2359">
      <c r="A2359" t="n">
        <v>2351</v>
      </c>
      <c r="B2359" t="n">
        <v>0</v>
      </c>
      <c r="C2359" t="n">
        <v>0</v>
      </c>
      <c r="D2359" t="n">
        <v>2557.670986889335</v>
      </c>
      <c r="E2359">
        <f>C2359&lt;0.05</f>
        <v/>
      </c>
      <c r="F2359">
        <f>A2359=$B$5</f>
        <v/>
      </c>
      <c r="G2359">
        <f>IF(E2359,A2359,10^9)</f>
        <v/>
      </c>
      <c r="H2359">
        <f>IF(E2359,D2359,10^9)</f>
        <v/>
      </c>
    </row>
    <row r="2360">
      <c r="A2360" t="n">
        <v>2352</v>
      </c>
      <c r="B2360" t="n">
        <v>0</v>
      </c>
      <c r="C2360" t="n">
        <v>0</v>
      </c>
      <c r="D2360" t="n">
        <v>2558.670986889335</v>
      </c>
      <c r="E2360">
        <f>C2360&lt;0.05</f>
        <v/>
      </c>
      <c r="F2360">
        <f>A2360=$B$5</f>
        <v/>
      </c>
      <c r="G2360">
        <f>IF(E2360,A2360,10^9)</f>
        <v/>
      </c>
      <c r="H2360">
        <f>IF(E2360,D2360,10^9)</f>
        <v/>
      </c>
    </row>
    <row r="2361">
      <c r="A2361" t="n">
        <v>2353</v>
      </c>
      <c r="B2361" t="n">
        <v>0</v>
      </c>
      <c r="C2361" t="n">
        <v>0</v>
      </c>
      <c r="D2361" t="n">
        <v>2559.670986889335</v>
      </c>
      <c r="E2361">
        <f>C2361&lt;0.05</f>
        <v/>
      </c>
      <c r="F2361">
        <f>A2361=$B$5</f>
        <v/>
      </c>
      <c r="G2361">
        <f>IF(E2361,A2361,10^9)</f>
        <v/>
      </c>
      <c r="H2361">
        <f>IF(E2361,D2361,10^9)</f>
        <v/>
      </c>
    </row>
    <row r="2362">
      <c r="A2362" t="n">
        <v>2354</v>
      </c>
      <c r="B2362" t="n">
        <v>0</v>
      </c>
      <c r="C2362" t="n">
        <v>0</v>
      </c>
      <c r="D2362" t="n">
        <v>2560.670986889335</v>
      </c>
      <c r="E2362">
        <f>C2362&lt;0.05</f>
        <v/>
      </c>
      <c r="F2362">
        <f>A2362=$B$5</f>
        <v/>
      </c>
      <c r="G2362">
        <f>IF(E2362,A2362,10^9)</f>
        <v/>
      </c>
      <c r="H2362">
        <f>IF(E2362,D2362,10^9)</f>
        <v/>
      </c>
    </row>
    <row r="2363">
      <c r="A2363" t="n">
        <v>2355</v>
      </c>
      <c r="B2363" t="n">
        <v>0</v>
      </c>
      <c r="C2363" t="n">
        <v>0</v>
      </c>
      <c r="D2363" t="n">
        <v>2561.670986889335</v>
      </c>
      <c r="E2363">
        <f>C2363&lt;0.05</f>
        <v/>
      </c>
      <c r="F2363">
        <f>A2363=$B$5</f>
        <v/>
      </c>
      <c r="G2363">
        <f>IF(E2363,A2363,10^9)</f>
        <v/>
      </c>
      <c r="H2363">
        <f>IF(E2363,D2363,10^9)</f>
        <v/>
      </c>
    </row>
    <row r="2364">
      <c r="A2364" t="n">
        <v>2356</v>
      </c>
      <c r="B2364" t="n">
        <v>0</v>
      </c>
      <c r="C2364" t="n">
        <v>0</v>
      </c>
      <c r="D2364" t="n">
        <v>2562.670986889335</v>
      </c>
      <c r="E2364">
        <f>C2364&lt;0.05</f>
        <v/>
      </c>
      <c r="F2364">
        <f>A2364=$B$5</f>
        <v/>
      </c>
      <c r="G2364">
        <f>IF(E2364,A2364,10^9)</f>
        <v/>
      </c>
      <c r="H2364">
        <f>IF(E2364,D2364,10^9)</f>
        <v/>
      </c>
    </row>
    <row r="2365">
      <c r="A2365" t="n">
        <v>2357</v>
      </c>
      <c r="B2365" t="n">
        <v>0</v>
      </c>
      <c r="C2365" t="n">
        <v>0</v>
      </c>
      <c r="D2365" t="n">
        <v>2563.670986889335</v>
      </c>
      <c r="E2365">
        <f>C2365&lt;0.05</f>
        <v/>
      </c>
      <c r="F2365">
        <f>A2365=$B$5</f>
        <v/>
      </c>
      <c r="G2365">
        <f>IF(E2365,A2365,10^9)</f>
        <v/>
      </c>
      <c r="H2365">
        <f>IF(E2365,D2365,10^9)</f>
        <v/>
      </c>
    </row>
    <row r="2366">
      <c r="A2366" t="n">
        <v>2358</v>
      </c>
      <c r="B2366" t="n">
        <v>0</v>
      </c>
      <c r="C2366" t="n">
        <v>0</v>
      </c>
      <c r="D2366" t="n">
        <v>2564.670986889335</v>
      </c>
      <c r="E2366">
        <f>C2366&lt;0.05</f>
        <v/>
      </c>
      <c r="F2366">
        <f>A2366=$B$5</f>
        <v/>
      </c>
      <c r="G2366">
        <f>IF(E2366,A2366,10^9)</f>
        <v/>
      </c>
      <c r="H2366">
        <f>IF(E2366,D2366,10^9)</f>
        <v/>
      </c>
    </row>
    <row r="2367">
      <c r="A2367" t="n">
        <v>2359</v>
      </c>
      <c r="B2367" t="n">
        <v>0</v>
      </c>
      <c r="C2367" t="n">
        <v>0</v>
      </c>
      <c r="D2367" t="n">
        <v>2565.670986889335</v>
      </c>
      <c r="E2367">
        <f>C2367&lt;0.05</f>
        <v/>
      </c>
      <c r="F2367">
        <f>A2367=$B$5</f>
        <v/>
      </c>
      <c r="G2367">
        <f>IF(E2367,A2367,10^9)</f>
        <v/>
      </c>
      <c r="H2367">
        <f>IF(E2367,D2367,10^9)</f>
        <v/>
      </c>
    </row>
    <row r="2368">
      <c r="A2368" t="n">
        <v>2360</v>
      </c>
      <c r="B2368" t="n">
        <v>0</v>
      </c>
      <c r="C2368" t="n">
        <v>0</v>
      </c>
      <c r="D2368" t="n">
        <v>2566.670986889335</v>
      </c>
      <c r="E2368">
        <f>C2368&lt;0.05</f>
        <v/>
      </c>
      <c r="F2368">
        <f>A2368=$B$5</f>
        <v/>
      </c>
      <c r="G2368">
        <f>IF(E2368,A2368,10^9)</f>
        <v/>
      </c>
      <c r="H2368">
        <f>IF(E2368,D2368,10^9)</f>
        <v/>
      </c>
    </row>
    <row r="2369">
      <c r="A2369" t="n">
        <v>2361</v>
      </c>
      <c r="B2369" t="n">
        <v>0</v>
      </c>
      <c r="C2369" t="n">
        <v>0</v>
      </c>
      <c r="D2369" t="n">
        <v>2567.670986889335</v>
      </c>
      <c r="E2369">
        <f>C2369&lt;0.05</f>
        <v/>
      </c>
      <c r="F2369">
        <f>A2369=$B$5</f>
        <v/>
      </c>
      <c r="G2369">
        <f>IF(E2369,A2369,10^9)</f>
        <v/>
      </c>
      <c r="H2369">
        <f>IF(E2369,D2369,10^9)</f>
        <v/>
      </c>
    </row>
    <row r="2370">
      <c r="A2370" t="n">
        <v>2362</v>
      </c>
      <c r="B2370" t="n">
        <v>0</v>
      </c>
      <c r="C2370" t="n">
        <v>0</v>
      </c>
      <c r="D2370" t="n">
        <v>2568.670986889335</v>
      </c>
      <c r="E2370">
        <f>C2370&lt;0.05</f>
        <v/>
      </c>
      <c r="F2370">
        <f>A2370=$B$5</f>
        <v/>
      </c>
      <c r="G2370">
        <f>IF(E2370,A2370,10^9)</f>
        <v/>
      </c>
      <c r="H2370">
        <f>IF(E2370,D2370,10^9)</f>
        <v/>
      </c>
    </row>
    <row r="2371">
      <c r="A2371" t="n">
        <v>2363</v>
      </c>
      <c r="B2371" t="n">
        <v>0</v>
      </c>
      <c r="C2371" t="n">
        <v>0</v>
      </c>
      <c r="D2371" t="n">
        <v>2569.670986889335</v>
      </c>
      <c r="E2371">
        <f>C2371&lt;0.05</f>
        <v/>
      </c>
      <c r="F2371">
        <f>A2371=$B$5</f>
        <v/>
      </c>
      <c r="G2371">
        <f>IF(E2371,A2371,10^9)</f>
        <v/>
      </c>
      <c r="H2371">
        <f>IF(E2371,D2371,10^9)</f>
        <v/>
      </c>
    </row>
    <row r="2372">
      <c r="A2372" t="n">
        <v>2364</v>
      </c>
      <c r="B2372" t="n">
        <v>0</v>
      </c>
      <c r="C2372" t="n">
        <v>0</v>
      </c>
      <c r="D2372" t="n">
        <v>2570.670986889335</v>
      </c>
      <c r="E2372">
        <f>C2372&lt;0.05</f>
        <v/>
      </c>
      <c r="F2372">
        <f>A2372=$B$5</f>
        <v/>
      </c>
      <c r="G2372">
        <f>IF(E2372,A2372,10^9)</f>
        <v/>
      </c>
      <c r="H2372">
        <f>IF(E2372,D2372,10^9)</f>
        <v/>
      </c>
    </row>
    <row r="2373">
      <c r="A2373" t="n">
        <v>2365</v>
      </c>
      <c r="B2373" t="n">
        <v>0</v>
      </c>
      <c r="C2373" t="n">
        <v>0</v>
      </c>
      <c r="D2373" t="n">
        <v>2571.670986889335</v>
      </c>
      <c r="E2373">
        <f>C2373&lt;0.05</f>
        <v/>
      </c>
      <c r="F2373">
        <f>A2373=$B$5</f>
        <v/>
      </c>
      <c r="G2373">
        <f>IF(E2373,A2373,10^9)</f>
        <v/>
      </c>
      <c r="H2373">
        <f>IF(E2373,D2373,10^9)</f>
        <v/>
      </c>
    </row>
    <row r="2374">
      <c r="A2374" t="n">
        <v>2366</v>
      </c>
      <c r="B2374" t="n">
        <v>0</v>
      </c>
      <c r="C2374" t="n">
        <v>0</v>
      </c>
      <c r="D2374" t="n">
        <v>2572.670986889335</v>
      </c>
      <c r="E2374">
        <f>C2374&lt;0.05</f>
        <v/>
      </c>
      <c r="F2374">
        <f>A2374=$B$5</f>
        <v/>
      </c>
      <c r="G2374">
        <f>IF(E2374,A2374,10^9)</f>
        <v/>
      </c>
      <c r="H2374">
        <f>IF(E2374,D2374,10^9)</f>
        <v/>
      </c>
    </row>
    <row r="2375">
      <c r="A2375" t="n">
        <v>2367</v>
      </c>
      <c r="B2375" t="n">
        <v>0</v>
      </c>
      <c r="C2375" t="n">
        <v>0</v>
      </c>
      <c r="D2375" t="n">
        <v>2573.670986889335</v>
      </c>
      <c r="E2375">
        <f>C2375&lt;0.05</f>
        <v/>
      </c>
      <c r="F2375">
        <f>A2375=$B$5</f>
        <v/>
      </c>
      <c r="G2375">
        <f>IF(E2375,A2375,10^9)</f>
        <v/>
      </c>
      <c r="H2375">
        <f>IF(E2375,D2375,10^9)</f>
        <v/>
      </c>
    </row>
    <row r="2376">
      <c r="A2376" t="n">
        <v>2368</v>
      </c>
      <c r="B2376" t="n">
        <v>0</v>
      </c>
      <c r="C2376" t="n">
        <v>0</v>
      </c>
      <c r="D2376" t="n">
        <v>2574.670986889335</v>
      </c>
      <c r="E2376">
        <f>C2376&lt;0.05</f>
        <v/>
      </c>
      <c r="F2376">
        <f>A2376=$B$5</f>
        <v/>
      </c>
      <c r="G2376">
        <f>IF(E2376,A2376,10^9)</f>
        <v/>
      </c>
      <c r="H2376">
        <f>IF(E2376,D2376,10^9)</f>
        <v/>
      </c>
    </row>
    <row r="2377">
      <c r="A2377" t="n">
        <v>2369</v>
      </c>
      <c r="B2377" t="n">
        <v>0</v>
      </c>
      <c r="C2377" t="n">
        <v>0</v>
      </c>
      <c r="D2377" t="n">
        <v>2575.670986889335</v>
      </c>
      <c r="E2377">
        <f>C2377&lt;0.05</f>
        <v/>
      </c>
      <c r="F2377">
        <f>A2377=$B$5</f>
        <v/>
      </c>
      <c r="G2377">
        <f>IF(E2377,A2377,10^9)</f>
        <v/>
      </c>
      <c r="H2377">
        <f>IF(E2377,D2377,10^9)</f>
        <v/>
      </c>
    </row>
    <row r="2378">
      <c r="A2378" t="n">
        <v>2370</v>
      </c>
      <c r="B2378" t="n">
        <v>0</v>
      </c>
      <c r="C2378" t="n">
        <v>0</v>
      </c>
      <c r="D2378" t="n">
        <v>2576.670986889335</v>
      </c>
      <c r="E2378">
        <f>C2378&lt;0.05</f>
        <v/>
      </c>
      <c r="F2378">
        <f>A2378=$B$5</f>
        <v/>
      </c>
      <c r="G2378">
        <f>IF(E2378,A2378,10^9)</f>
        <v/>
      </c>
      <c r="H2378">
        <f>IF(E2378,D2378,10^9)</f>
        <v/>
      </c>
    </row>
    <row r="2379">
      <c r="A2379" t="n">
        <v>2371</v>
      </c>
      <c r="B2379" t="n">
        <v>0</v>
      </c>
      <c r="C2379" t="n">
        <v>0</v>
      </c>
      <c r="D2379" t="n">
        <v>2577.670986889335</v>
      </c>
      <c r="E2379">
        <f>C2379&lt;0.05</f>
        <v/>
      </c>
      <c r="F2379">
        <f>A2379=$B$5</f>
        <v/>
      </c>
      <c r="G2379">
        <f>IF(E2379,A2379,10^9)</f>
        <v/>
      </c>
      <c r="H2379">
        <f>IF(E2379,D2379,10^9)</f>
        <v/>
      </c>
    </row>
    <row r="2380">
      <c r="A2380" t="n">
        <v>2372</v>
      </c>
      <c r="B2380" t="n">
        <v>0</v>
      </c>
      <c r="C2380" t="n">
        <v>0</v>
      </c>
      <c r="D2380" t="n">
        <v>2578.670986889335</v>
      </c>
      <c r="E2380">
        <f>C2380&lt;0.05</f>
        <v/>
      </c>
      <c r="F2380">
        <f>A2380=$B$5</f>
        <v/>
      </c>
      <c r="G2380">
        <f>IF(E2380,A2380,10^9)</f>
        <v/>
      </c>
      <c r="H2380">
        <f>IF(E2380,D2380,10^9)</f>
        <v/>
      </c>
    </row>
    <row r="2381">
      <c r="A2381" t="n">
        <v>2373</v>
      </c>
      <c r="B2381" t="n">
        <v>0</v>
      </c>
      <c r="C2381" t="n">
        <v>0</v>
      </c>
      <c r="D2381" t="n">
        <v>2579.670986889335</v>
      </c>
      <c r="E2381">
        <f>C2381&lt;0.05</f>
        <v/>
      </c>
      <c r="F2381">
        <f>A2381=$B$5</f>
        <v/>
      </c>
      <c r="G2381">
        <f>IF(E2381,A2381,10^9)</f>
        <v/>
      </c>
      <c r="H2381">
        <f>IF(E2381,D2381,10^9)</f>
        <v/>
      </c>
    </row>
    <row r="2382">
      <c r="A2382" t="n">
        <v>2374</v>
      </c>
      <c r="B2382" t="n">
        <v>0</v>
      </c>
      <c r="C2382" t="n">
        <v>0</v>
      </c>
      <c r="D2382" t="n">
        <v>2580.670986889335</v>
      </c>
      <c r="E2382">
        <f>C2382&lt;0.05</f>
        <v/>
      </c>
      <c r="F2382">
        <f>A2382=$B$5</f>
        <v/>
      </c>
      <c r="G2382">
        <f>IF(E2382,A2382,10^9)</f>
        <v/>
      </c>
      <c r="H2382">
        <f>IF(E2382,D2382,10^9)</f>
        <v/>
      </c>
    </row>
    <row r="2383">
      <c r="A2383" t="n">
        <v>2375</v>
      </c>
      <c r="B2383" t="n">
        <v>0</v>
      </c>
      <c r="C2383" t="n">
        <v>0</v>
      </c>
      <c r="D2383" t="n">
        <v>2581.670986889335</v>
      </c>
      <c r="E2383">
        <f>C2383&lt;0.05</f>
        <v/>
      </c>
      <c r="F2383">
        <f>A2383=$B$5</f>
        <v/>
      </c>
      <c r="G2383">
        <f>IF(E2383,A2383,10^9)</f>
        <v/>
      </c>
      <c r="H2383">
        <f>IF(E2383,D2383,10^9)</f>
        <v/>
      </c>
    </row>
    <row r="2384">
      <c r="A2384" t="n">
        <v>2376</v>
      </c>
      <c r="B2384" t="n">
        <v>0</v>
      </c>
      <c r="C2384" t="n">
        <v>0</v>
      </c>
      <c r="D2384" t="n">
        <v>2582.670986889335</v>
      </c>
      <c r="E2384">
        <f>C2384&lt;0.05</f>
        <v/>
      </c>
      <c r="F2384">
        <f>A2384=$B$5</f>
        <v/>
      </c>
      <c r="G2384">
        <f>IF(E2384,A2384,10^9)</f>
        <v/>
      </c>
      <c r="H2384">
        <f>IF(E2384,D2384,10^9)</f>
        <v/>
      </c>
    </row>
    <row r="2385">
      <c r="A2385" t="n">
        <v>2377</v>
      </c>
      <c r="B2385" t="n">
        <v>0</v>
      </c>
      <c r="C2385" t="n">
        <v>0</v>
      </c>
      <c r="D2385" t="n">
        <v>2583.670986889335</v>
      </c>
      <c r="E2385">
        <f>C2385&lt;0.05</f>
        <v/>
      </c>
      <c r="F2385">
        <f>A2385=$B$5</f>
        <v/>
      </c>
      <c r="G2385">
        <f>IF(E2385,A2385,10^9)</f>
        <v/>
      </c>
      <c r="H2385">
        <f>IF(E2385,D2385,10^9)</f>
        <v/>
      </c>
    </row>
    <row r="2386">
      <c r="A2386" t="n">
        <v>2378</v>
      </c>
      <c r="B2386" t="n">
        <v>0</v>
      </c>
      <c r="C2386" t="n">
        <v>0</v>
      </c>
      <c r="D2386" t="n">
        <v>2584.670986889335</v>
      </c>
      <c r="E2386">
        <f>C2386&lt;0.05</f>
        <v/>
      </c>
      <c r="F2386">
        <f>A2386=$B$5</f>
        <v/>
      </c>
      <c r="G2386">
        <f>IF(E2386,A2386,10^9)</f>
        <v/>
      </c>
      <c r="H2386">
        <f>IF(E2386,D2386,10^9)</f>
        <v/>
      </c>
    </row>
    <row r="2387">
      <c r="A2387" t="n">
        <v>2379</v>
      </c>
      <c r="B2387" t="n">
        <v>0</v>
      </c>
      <c r="C2387" t="n">
        <v>0</v>
      </c>
      <c r="D2387" t="n">
        <v>2585.670986889335</v>
      </c>
      <c r="E2387">
        <f>C2387&lt;0.05</f>
        <v/>
      </c>
      <c r="F2387">
        <f>A2387=$B$5</f>
        <v/>
      </c>
      <c r="G2387">
        <f>IF(E2387,A2387,10^9)</f>
        <v/>
      </c>
      <c r="H2387">
        <f>IF(E2387,D2387,10^9)</f>
        <v/>
      </c>
    </row>
    <row r="2388">
      <c r="A2388" t="n">
        <v>2380</v>
      </c>
      <c r="B2388" t="n">
        <v>0</v>
      </c>
      <c r="C2388" t="n">
        <v>0</v>
      </c>
      <c r="D2388" t="n">
        <v>2586.670986889335</v>
      </c>
      <c r="E2388">
        <f>C2388&lt;0.05</f>
        <v/>
      </c>
      <c r="F2388">
        <f>A2388=$B$5</f>
        <v/>
      </c>
      <c r="G2388">
        <f>IF(E2388,A2388,10^9)</f>
        <v/>
      </c>
      <c r="H2388">
        <f>IF(E2388,D2388,10^9)</f>
        <v/>
      </c>
    </row>
    <row r="2389">
      <c r="A2389" t="n">
        <v>2381</v>
      </c>
      <c r="B2389" t="n">
        <v>0</v>
      </c>
      <c r="C2389" t="n">
        <v>0</v>
      </c>
      <c r="D2389" t="n">
        <v>2587.670986889335</v>
      </c>
      <c r="E2389">
        <f>C2389&lt;0.05</f>
        <v/>
      </c>
      <c r="F2389">
        <f>A2389=$B$5</f>
        <v/>
      </c>
      <c r="G2389">
        <f>IF(E2389,A2389,10^9)</f>
        <v/>
      </c>
      <c r="H2389">
        <f>IF(E2389,D2389,10^9)</f>
        <v/>
      </c>
    </row>
    <row r="2390">
      <c r="A2390" t="n">
        <v>2382</v>
      </c>
      <c r="B2390" t="n">
        <v>0</v>
      </c>
      <c r="C2390" t="n">
        <v>0</v>
      </c>
      <c r="D2390" t="n">
        <v>2588.670986889335</v>
      </c>
      <c r="E2390">
        <f>C2390&lt;0.05</f>
        <v/>
      </c>
      <c r="F2390">
        <f>A2390=$B$5</f>
        <v/>
      </c>
      <c r="G2390">
        <f>IF(E2390,A2390,10^9)</f>
        <v/>
      </c>
      <c r="H2390">
        <f>IF(E2390,D2390,10^9)</f>
        <v/>
      </c>
    </row>
    <row r="2391">
      <c r="A2391" t="n">
        <v>2383</v>
      </c>
      <c r="B2391" t="n">
        <v>0</v>
      </c>
      <c r="C2391" t="n">
        <v>0</v>
      </c>
      <c r="D2391" t="n">
        <v>2589.670986889335</v>
      </c>
      <c r="E2391">
        <f>C2391&lt;0.05</f>
        <v/>
      </c>
      <c r="F2391">
        <f>A2391=$B$5</f>
        <v/>
      </c>
      <c r="G2391">
        <f>IF(E2391,A2391,10^9)</f>
        <v/>
      </c>
      <c r="H2391">
        <f>IF(E2391,D2391,10^9)</f>
        <v/>
      </c>
    </row>
    <row r="2392">
      <c r="A2392" t="n">
        <v>2384</v>
      </c>
      <c r="B2392" t="n">
        <v>0</v>
      </c>
      <c r="C2392" t="n">
        <v>0</v>
      </c>
      <c r="D2392" t="n">
        <v>2590.670986889335</v>
      </c>
      <c r="E2392">
        <f>C2392&lt;0.05</f>
        <v/>
      </c>
      <c r="F2392">
        <f>A2392=$B$5</f>
        <v/>
      </c>
      <c r="G2392">
        <f>IF(E2392,A2392,10^9)</f>
        <v/>
      </c>
      <c r="H2392">
        <f>IF(E2392,D2392,10^9)</f>
        <v/>
      </c>
    </row>
    <row r="2393">
      <c r="A2393" t="n">
        <v>2385</v>
      </c>
      <c r="B2393" t="n">
        <v>0</v>
      </c>
      <c r="C2393" t="n">
        <v>0</v>
      </c>
      <c r="D2393" t="n">
        <v>2591.670986889335</v>
      </c>
      <c r="E2393">
        <f>C2393&lt;0.05</f>
        <v/>
      </c>
      <c r="F2393">
        <f>A2393=$B$5</f>
        <v/>
      </c>
      <c r="G2393">
        <f>IF(E2393,A2393,10^9)</f>
        <v/>
      </c>
      <c r="H2393">
        <f>IF(E2393,D2393,10^9)</f>
        <v/>
      </c>
    </row>
    <row r="2394">
      <c r="A2394" t="n">
        <v>2386</v>
      </c>
      <c r="B2394" t="n">
        <v>0</v>
      </c>
      <c r="C2394" t="n">
        <v>0</v>
      </c>
      <c r="D2394" t="n">
        <v>2592.670986889335</v>
      </c>
      <c r="E2394">
        <f>C2394&lt;0.05</f>
        <v/>
      </c>
      <c r="F2394">
        <f>A2394=$B$5</f>
        <v/>
      </c>
      <c r="G2394">
        <f>IF(E2394,A2394,10^9)</f>
        <v/>
      </c>
      <c r="H2394">
        <f>IF(E2394,D2394,10^9)</f>
        <v/>
      </c>
    </row>
    <row r="2395">
      <c r="A2395" t="n">
        <v>2387</v>
      </c>
      <c r="B2395" t="n">
        <v>0</v>
      </c>
      <c r="C2395" t="n">
        <v>0</v>
      </c>
      <c r="D2395" t="n">
        <v>2593.670986889335</v>
      </c>
      <c r="E2395">
        <f>C2395&lt;0.05</f>
        <v/>
      </c>
      <c r="F2395">
        <f>A2395=$B$5</f>
        <v/>
      </c>
      <c r="G2395">
        <f>IF(E2395,A2395,10^9)</f>
        <v/>
      </c>
      <c r="H2395">
        <f>IF(E2395,D2395,10^9)</f>
        <v/>
      </c>
    </row>
    <row r="2396">
      <c r="A2396" t="n">
        <v>2388</v>
      </c>
      <c r="B2396" t="n">
        <v>0</v>
      </c>
      <c r="C2396" t="n">
        <v>0</v>
      </c>
      <c r="D2396" t="n">
        <v>2594.670986889335</v>
      </c>
      <c r="E2396">
        <f>C2396&lt;0.05</f>
        <v/>
      </c>
      <c r="F2396">
        <f>A2396=$B$5</f>
        <v/>
      </c>
      <c r="G2396">
        <f>IF(E2396,A2396,10^9)</f>
        <v/>
      </c>
      <c r="H2396">
        <f>IF(E2396,D2396,10^9)</f>
        <v/>
      </c>
    </row>
    <row r="2397">
      <c r="A2397" t="n">
        <v>2389</v>
      </c>
      <c r="B2397" t="n">
        <v>0</v>
      </c>
      <c r="C2397" t="n">
        <v>0</v>
      </c>
      <c r="D2397" t="n">
        <v>2595.670986889335</v>
      </c>
      <c r="E2397">
        <f>C2397&lt;0.05</f>
        <v/>
      </c>
      <c r="F2397">
        <f>A2397=$B$5</f>
        <v/>
      </c>
      <c r="G2397">
        <f>IF(E2397,A2397,10^9)</f>
        <v/>
      </c>
      <c r="H2397">
        <f>IF(E2397,D2397,10^9)</f>
        <v/>
      </c>
    </row>
    <row r="2398">
      <c r="A2398" t="n">
        <v>2390</v>
      </c>
      <c r="B2398" t="n">
        <v>0</v>
      </c>
      <c r="C2398" t="n">
        <v>0</v>
      </c>
      <c r="D2398" t="n">
        <v>2596.670986889335</v>
      </c>
      <c r="E2398">
        <f>C2398&lt;0.05</f>
        <v/>
      </c>
      <c r="F2398">
        <f>A2398=$B$5</f>
        <v/>
      </c>
      <c r="G2398">
        <f>IF(E2398,A2398,10^9)</f>
        <v/>
      </c>
      <c r="H2398">
        <f>IF(E2398,D2398,10^9)</f>
        <v/>
      </c>
    </row>
    <row r="2399">
      <c r="A2399" t="n">
        <v>2391</v>
      </c>
      <c r="B2399" t="n">
        <v>0</v>
      </c>
      <c r="C2399" t="n">
        <v>0</v>
      </c>
      <c r="D2399" t="n">
        <v>2597.670986889335</v>
      </c>
      <c r="E2399">
        <f>C2399&lt;0.05</f>
        <v/>
      </c>
      <c r="F2399">
        <f>A2399=$B$5</f>
        <v/>
      </c>
      <c r="G2399">
        <f>IF(E2399,A2399,10^9)</f>
        <v/>
      </c>
      <c r="H2399">
        <f>IF(E2399,D2399,10^9)</f>
        <v/>
      </c>
    </row>
    <row r="2400">
      <c r="A2400" t="n">
        <v>2392</v>
      </c>
      <c r="B2400" t="n">
        <v>0</v>
      </c>
      <c r="C2400" t="n">
        <v>0</v>
      </c>
      <c r="D2400" t="n">
        <v>2598.670986889335</v>
      </c>
      <c r="E2400">
        <f>C2400&lt;0.05</f>
        <v/>
      </c>
      <c r="F2400">
        <f>A2400=$B$5</f>
        <v/>
      </c>
      <c r="G2400">
        <f>IF(E2400,A2400,10^9)</f>
        <v/>
      </c>
      <c r="H2400">
        <f>IF(E2400,D2400,10^9)</f>
        <v/>
      </c>
    </row>
    <row r="2401">
      <c r="A2401" t="n">
        <v>2393</v>
      </c>
      <c r="B2401" t="n">
        <v>0</v>
      </c>
      <c r="C2401" t="n">
        <v>0</v>
      </c>
      <c r="D2401" t="n">
        <v>2599.670986889335</v>
      </c>
      <c r="E2401">
        <f>C2401&lt;0.05</f>
        <v/>
      </c>
      <c r="F2401">
        <f>A2401=$B$5</f>
        <v/>
      </c>
      <c r="G2401">
        <f>IF(E2401,A2401,10^9)</f>
        <v/>
      </c>
      <c r="H2401">
        <f>IF(E2401,D2401,10^9)</f>
        <v/>
      </c>
    </row>
    <row r="2402">
      <c r="A2402" t="n">
        <v>2394</v>
      </c>
      <c r="B2402" t="n">
        <v>0</v>
      </c>
      <c r="C2402" t="n">
        <v>0</v>
      </c>
      <c r="D2402" t="n">
        <v>2600.670986889335</v>
      </c>
      <c r="E2402">
        <f>C2402&lt;0.05</f>
        <v/>
      </c>
      <c r="F2402">
        <f>A2402=$B$5</f>
        <v/>
      </c>
      <c r="G2402">
        <f>IF(E2402,A2402,10^9)</f>
        <v/>
      </c>
      <c r="H2402">
        <f>IF(E2402,D2402,10^9)</f>
        <v/>
      </c>
    </row>
    <row r="2403">
      <c r="A2403" t="n">
        <v>2395</v>
      </c>
      <c r="B2403" t="n">
        <v>0</v>
      </c>
      <c r="C2403" t="n">
        <v>0</v>
      </c>
      <c r="D2403" t="n">
        <v>2601.670986889335</v>
      </c>
      <c r="E2403">
        <f>C2403&lt;0.05</f>
        <v/>
      </c>
      <c r="F2403">
        <f>A2403=$B$5</f>
        <v/>
      </c>
      <c r="G2403">
        <f>IF(E2403,A2403,10^9)</f>
        <v/>
      </c>
      <c r="H2403">
        <f>IF(E2403,D2403,10^9)</f>
        <v/>
      </c>
    </row>
    <row r="2404">
      <c r="A2404" t="n">
        <v>2396</v>
      </c>
      <c r="B2404" t="n">
        <v>0</v>
      </c>
      <c r="C2404" t="n">
        <v>0</v>
      </c>
      <c r="D2404" t="n">
        <v>2602.670986889335</v>
      </c>
      <c r="E2404">
        <f>C2404&lt;0.05</f>
        <v/>
      </c>
      <c r="F2404">
        <f>A2404=$B$5</f>
        <v/>
      </c>
      <c r="G2404">
        <f>IF(E2404,A2404,10^9)</f>
        <v/>
      </c>
      <c r="H2404">
        <f>IF(E2404,D2404,10^9)</f>
        <v/>
      </c>
    </row>
    <row r="2405">
      <c r="A2405" t="n">
        <v>2397</v>
      </c>
      <c r="B2405" t="n">
        <v>0</v>
      </c>
      <c r="C2405" t="n">
        <v>0</v>
      </c>
      <c r="D2405" t="n">
        <v>2603.670986889335</v>
      </c>
      <c r="E2405">
        <f>C2405&lt;0.05</f>
        <v/>
      </c>
      <c r="F2405">
        <f>A2405=$B$5</f>
        <v/>
      </c>
      <c r="G2405">
        <f>IF(E2405,A2405,10^9)</f>
        <v/>
      </c>
      <c r="H2405">
        <f>IF(E2405,D2405,10^9)</f>
        <v/>
      </c>
    </row>
    <row r="2406">
      <c r="A2406" t="n">
        <v>2398</v>
      </c>
      <c r="B2406" t="n">
        <v>0</v>
      </c>
      <c r="C2406" t="n">
        <v>0</v>
      </c>
      <c r="D2406" t="n">
        <v>2604.670986889335</v>
      </c>
      <c r="E2406">
        <f>C2406&lt;0.05</f>
        <v/>
      </c>
      <c r="F2406">
        <f>A2406=$B$5</f>
        <v/>
      </c>
      <c r="G2406">
        <f>IF(E2406,A2406,10^9)</f>
        <v/>
      </c>
      <c r="H2406">
        <f>IF(E2406,D2406,10^9)</f>
        <v/>
      </c>
    </row>
    <row r="2407">
      <c r="A2407" t="n">
        <v>2399</v>
      </c>
      <c r="B2407" t="n">
        <v>0</v>
      </c>
      <c r="C2407" t="n">
        <v>0</v>
      </c>
      <c r="D2407" t="n">
        <v>2605.670986889335</v>
      </c>
      <c r="E2407">
        <f>C2407&lt;0.05</f>
        <v/>
      </c>
      <c r="F2407">
        <f>A2407=$B$5</f>
        <v/>
      </c>
      <c r="G2407">
        <f>IF(E2407,A2407,10^9)</f>
        <v/>
      </c>
      <c r="H2407">
        <f>IF(E2407,D2407,10^9)</f>
        <v/>
      </c>
    </row>
    <row r="2408">
      <c r="A2408" t="n">
        <v>2400</v>
      </c>
      <c r="B2408" t="n">
        <v>0</v>
      </c>
      <c r="C2408" t="n">
        <v>0</v>
      </c>
      <c r="D2408" t="n">
        <v>2606.670986889335</v>
      </c>
      <c r="E2408">
        <f>C2408&lt;0.05</f>
        <v/>
      </c>
      <c r="F2408">
        <f>A2408=$B$5</f>
        <v/>
      </c>
      <c r="G2408">
        <f>IF(E2408,A2408,10^9)</f>
        <v/>
      </c>
      <c r="H2408">
        <f>IF(E2408,D2408,10^9)</f>
        <v/>
      </c>
    </row>
    <row r="2409">
      <c r="A2409" t="n">
        <v>2401</v>
      </c>
      <c r="B2409" t="n">
        <v>0</v>
      </c>
      <c r="C2409" t="n">
        <v>0</v>
      </c>
      <c r="D2409" t="n">
        <v>2607.670986889335</v>
      </c>
      <c r="E2409">
        <f>C2409&lt;0.05</f>
        <v/>
      </c>
      <c r="F2409">
        <f>A2409=$B$5</f>
        <v/>
      </c>
      <c r="G2409">
        <f>IF(E2409,A2409,10^9)</f>
        <v/>
      </c>
      <c r="H2409">
        <f>IF(E2409,D2409,10^9)</f>
        <v/>
      </c>
    </row>
    <row r="2410">
      <c r="A2410" t="n">
        <v>2402</v>
      </c>
      <c r="B2410" t="n">
        <v>0</v>
      </c>
      <c r="C2410" t="n">
        <v>0</v>
      </c>
      <c r="D2410" t="n">
        <v>2608.670986889335</v>
      </c>
      <c r="E2410">
        <f>C2410&lt;0.05</f>
        <v/>
      </c>
      <c r="F2410">
        <f>A2410=$B$5</f>
        <v/>
      </c>
      <c r="G2410">
        <f>IF(E2410,A2410,10^9)</f>
        <v/>
      </c>
      <c r="H2410">
        <f>IF(E2410,D2410,10^9)</f>
        <v/>
      </c>
    </row>
    <row r="2411">
      <c r="A2411" t="n">
        <v>2403</v>
      </c>
      <c r="B2411" t="n">
        <v>0</v>
      </c>
      <c r="C2411" t="n">
        <v>0</v>
      </c>
      <c r="D2411" t="n">
        <v>2609.670986889335</v>
      </c>
      <c r="E2411">
        <f>C2411&lt;0.05</f>
        <v/>
      </c>
      <c r="F2411">
        <f>A2411=$B$5</f>
        <v/>
      </c>
      <c r="G2411">
        <f>IF(E2411,A2411,10^9)</f>
        <v/>
      </c>
      <c r="H2411">
        <f>IF(E2411,D2411,10^9)</f>
        <v/>
      </c>
    </row>
    <row r="2412">
      <c r="A2412" t="n">
        <v>2404</v>
      </c>
      <c r="B2412" t="n">
        <v>0</v>
      </c>
      <c r="C2412" t="n">
        <v>0</v>
      </c>
      <c r="D2412" t="n">
        <v>2610.670986889335</v>
      </c>
      <c r="E2412">
        <f>C2412&lt;0.05</f>
        <v/>
      </c>
      <c r="F2412">
        <f>A2412=$B$5</f>
        <v/>
      </c>
      <c r="G2412">
        <f>IF(E2412,A2412,10^9)</f>
        <v/>
      </c>
      <c r="H2412">
        <f>IF(E2412,D2412,10^9)</f>
        <v/>
      </c>
    </row>
    <row r="2413">
      <c r="A2413" t="n">
        <v>2405</v>
      </c>
      <c r="B2413" t="n">
        <v>0</v>
      </c>
      <c r="C2413" t="n">
        <v>0</v>
      </c>
      <c r="D2413" t="n">
        <v>2611.670986889335</v>
      </c>
      <c r="E2413">
        <f>C2413&lt;0.05</f>
        <v/>
      </c>
      <c r="F2413">
        <f>A2413=$B$5</f>
        <v/>
      </c>
      <c r="G2413">
        <f>IF(E2413,A2413,10^9)</f>
        <v/>
      </c>
      <c r="H2413">
        <f>IF(E2413,D2413,10^9)</f>
        <v/>
      </c>
    </row>
    <row r="2414">
      <c r="A2414" t="n">
        <v>2406</v>
      </c>
      <c r="B2414" t="n">
        <v>0</v>
      </c>
      <c r="C2414" t="n">
        <v>0</v>
      </c>
      <c r="D2414" t="n">
        <v>2612.670986889335</v>
      </c>
      <c r="E2414">
        <f>C2414&lt;0.05</f>
        <v/>
      </c>
      <c r="F2414">
        <f>A2414=$B$5</f>
        <v/>
      </c>
      <c r="G2414">
        <f>IF(E2414,A2414,10^9)</f>
        <v/>
      </c>
      <c r="H2414">
        <f>IF(E2414,D2414,10^9)</f>
        <v/>
      </c>
    </row>
    <row r="2415">
      <c r="A2415" t="n">
        <v>2407</v>
      </c>
      <c r="B2415" t="n">
        <v>0</v>
      </c>
      <c r="C2415" t="n">
        <v>0</v>
      </c>
      <c r="D2415" t="n">
        <v>2613.670986889335</v>
      </c>
      <c r="E2415">
        <f>C2415&lt;0.05</f>
        <v/>
      </c>
      <c r="F2415">
        <f>A2415=$B$5</f>
        <v/>
      </c>
      <c r="G2415">
        <f>IF(E2415,A2415,10^9)</f>
        <v/>
      </c>
      <c r="H2415">
        <f>IF(E2415,D2415,10^9)</f>
        <v/>
      </c>
    </row>
    <row r="2416">
      <c r="A2416" t="n">
        <v>2408</v>
      </c>
      <c r="B2416" t="n">
        <v>0</v>
      </c>
      <c r="C2416" t="n">
        <v>0</v>
      </c>
      <c r="D2416" t="n">
        <v>2614.670986889335</v>
      </c>
      <c r="E2416">
        <f>C2416&lt;0.05</f>
        <v/>
      </c>
      <c r="F2416">
        <f>A2416=$B$5</f>
        <v/>
      </c>
      <c r="G2416">
        <f>IF(E2416,A2416,10^9)</f>
        <v/>
      </c>
      <c r="H2416">
        <f>IF(E2416,D2416,10^9)</f>
        <v/>
      </c>
    </row>
    <row r="2417">
      <c r="A2417" t="n">
        <v>2409</v>
      </c>
      <c r="B2417" t="n">
        <v>0</v>
      </c>
      <c r="C2417" t="n">
        <v>0</v>
      </c>
      <c r="D2417" t="n">
        <v>2615.670986889335</v>
      </c>
      <c r="E2417">
        <f>C2417&lt;0.05</f>
        <v/>
      </c>
      <c r="F2417">
        <f>A2417=$B$5</f>
        <v/>
      </c>
      <c r="G2417">
        <f>IF(E2417,A2417,10^9)</f>
        <v/>
      </c>
      <c r="H2417">
        <f>IF(E2417,D2417,10^9)</f>
        <v/>
      </c>
    </row>
    <row r="2418">
      <c r="A2418" t="n">
        <v>2410</v>
      </c>
      <c r="B2418" t="n">
        <v>0</v>
      </c>
      <c r="C2418" t="n">
        <v>0</v>
      </c>
      <c r="D2418" t="n">
        <v>2616.670986889335</v>
      </c>
      <c r="E2418">
        <f>C2418&lt;0.05</f>
        <v/>
      </c>
      <c r="F2418">
        <f>A2418=$B$5</f>
        <v/>
      </c>
      <c r="G2418">
        <f>IF(E2418,A2418,10^9)</f>
        <v/>
      </c>
      <c r="H2418">
        <f>IF(E2418,D2418,10^9)</f>
        <v/>
      </c>
    </row>
    <row r="2419">
      <c r="A2419" t="n">
        <v>2411</v>
      </c>
      <c r="B2419" t="n">
        <v>0</v>
      </c>
      <c r="C2419" t="n">
        <v>0</v>
      </c>
      <c r="D2419" t="n">
        <v>2617.670986889335</v>
      </c>
      <c r="E2419">
        <f>C2419&lt;0.05</f>
        <v/>
      </c>
      <c r="F2419">
        <f>A2419=$B$5</f>
        <v/>
      </c>
      <c r="G2419">
        <f>IF(E2419,A2419,10^9)</f>
        <v/>
      </c>
      <c r="H2419">
        <f>IF(E2419,D2419,10^9)</f>
        <v/>
      </c>
    </row>
    <row r="2420">
      <c r="A2420" t="n">
        <v>2412</v>
      </c>
      <c r="B2420" t="n">
        <v>0</v>
      </c>
      <c r="C2420" t="n">
        <v>0</v>
      </c>
      <c r="D2420" t="n">
        <v>2618.670986889335</v>
      </c>
      <c r="E2420">
        <f>C2420&lt;0.05</f>
        <v/>
      </c>
      <c r="F2420">
        <f>A2420=$B$5</f>
        <v/>
      </c>
      <c r="G2420">
        <f>IF(E2420,A2420,10^9)</f>
        <v/>
      </c>
      <c r="H2420">
        <f>IF(E2420,D2420,10^9)</f>
        <v/>
      </c>
    </row>
    <row r="2421">
      <c r="A2421" t="n">
        <v>2413</v>
      </c>
      <c r="B2421" t="n">
        <v>0</v>
      </c>
      <c r="C2421" t="n">
        <v>0</v>
      </c>
      <c r="D2421" t="n">
        <v>2619.670986889335</v>
      </c>
      <c r="E2421">
        <f>C2421&lt;0.05</f>
        <v/>
      </c>
      <c r="F2421">
        <f>A2421=$B$5</f>
        <v/>
      </c>
      <c r="G2421">
        <f>IF(E2421,A2421,10^9)</f>
        <v/>
      </c>
      <c r="H2421">
        <f>IF(E2421,D2421,10^9)</f>
        <v/>
      </c>
    </row>
    <row r="2422">
      <c r="A2422" t="n">
        <v>2414</v>
      </c>
      <c r="B2422" t="n">
        <v>0</v>
      </c>
      <c r="C2422" t="n">
        <v>0</v>
      </c>
      <c r="D2422" t="n">
        <v>2620.670986889335</v>
      </c>
      <c r="E2422">
        <f>C2422&lt;0.05</f>
        <v/>
      </c>
      <c r="F2422">
        <f>A2422=$B$5</f>
        <v/>
      </c>
      <c r="G2422">
        <f>IF(E2422,A2422,10^9)</f>
        <v/>
      </c>
      <c r="H2422">
        <f>IF(E2422,D2422,10^9)</f>
        <v/>
      </c>
    </row>
    <row r="2423">
      <c r="A2423" t="n">
        <v>2415</v>
      </c>
      <c r="B2423" t="n">
        <v>0</v>
      </c>
      <c r="C2423" t="n">
        <v>0</v>
      </c>
      <c r="D2423" t="n">
        <v>2621.670986889335</v>
      </c>
      <c r="E2423">
        <f>C2423&lt;0.05</f>
        <v/>
      </c>
      <c r="F2423">
        <f>A2423=$B$5</f>
        <v/>
      </c>
      <c r="G2423">
        <f>IF(E2423,A2423,10^9)</f>
        <v/>
      </c>
      <c r="H2423">
        <f>IF(E2423,D2423,10^9)</f>
        <v/>
      </c>
    </row>
    <row r="2424">
      <c r="A2424" t="n">
        <v>2416</v>
      </c>
      <c r="B2424" t="n">
        <v>0</v>
      </c>
      <c r="C2424" t="n">
        <v>0</v>
      </c>
      <c r="D2424" t="n">
        <v>2622.670986889335</v>
      </c>
      <c r="E2424">
        <f>C2424&lt;0.05</f>
        <v/>
      </c>
      <c r="F2424">
        <f>A2424=$B$5</f>
        <v/>
      </c>
      <c r="G2424">
        <f>IF(E2424,A2424,10^9)</f>
        <v/>
      </c>
      <c r="H2424">
        <f>IF(E2424,D2424,10^9)</f>
        <v/>
      </c>
    </row>
    <row r="2425">
      <c r="A2425" t="n">
        <v>2417</v>
      </c>
      <c r="B2425" t="n">
        <v>0</v>
      </c>
      <c r="C2425" t="n">
        <v>0</v>
      </c>
      <c r="D2425" t="n">
        <v>2623.670986889335</v>
      </c>
      <c r="E2425">
        <f>C2425&lt;0.05</f>
        <v/>
      </c>
      <c r="F2425">
        <f>A2425=$B$5</f>
        <v/>
      </c>
      <c r="G2425">
        <f>IF(E2425,A2425,10^9)</f>
        <v/>
      </c>
      <c r="H2425">
        <f>IF(E2425,D2425,10^9)</f>
        <v/>
      </c>
    </row>
    <row r="2426">
      <c r="A2426" t="n">
        <v>2418</v>
      </c>
      <c r="B2426" t="n">
        <v>0</v>
      </c>
      <c r="C2426" t="n">
        <v>0</v>
      </c>
      <c r="D2426" t="n">
        <v>2624.670986889335</v>
      </c>
      <c r="E2426">
        <f>C2426&lt;0.05</f>
        <v/>
      </c>
      <c r="F2426">
        <f>A2426=$B$5</f>
        <v/>
      </c>
      <c r="G2426">
        <f>IF(E2426,A2426,10^9)</f>
        <v/>
      </c>
      <c r="H2426">
        <f>IF(E2426,D2426,10^9)</f>
        <v/>
      </c>
    </row>
    <row r="2427">
      <c r="A2427" t="n">
        <v>2419</v>
      </c>
      <c r="B2427" t="n">
        <v>0</v>
      </c>
      <c r="C2427" t="n">
        <v>0</v>
      </c>
      <c r="D2427" t="n">
        <v>2625.670986889335</v>
      </c>
      <c r="E2427">
        <f>C2427&lt;0.05</f>
        <v/>
      </c>
      <c r="F2427">
        <f>A2427=$B$5</f>
        <v/>
      </c>
      <c r="G2427">
        <f>IF(E2427,A2427,10^9)</f>
        <v/>
      </c>
      <c r="H2427">
        <f>IF(E2427,D2427,10^9)</f>
        <v/>
      </c>
    </row>
    <row r="2428">
      <c r="A2428" t="n">
        <v>2420</v>
      </c>
      <c r="B2428" t="n">
        <v>0</v>
      </c>
      <c r="C2428" t="n">
        <v>0</v>
      </c>
      <c r="D2428" t="n">
        <v>2626.670986889335</v>
      </c>
      <c r="E2428">
        <f>C2428&lt;0.05</f>
        <v/>
      </c>
      <c r="F2428">
        <f>A2428=$B$5</f>
        <v/>
      </c>
      <c r="G2428">
        <f>IF(E2428,A2428,10^9)</f>
        <v/>
      </c>
      <c r="H2428">
        <f>IF(E2428,D2428,10^9)</f>
        <v/>
      </c>
    </row>
    <row r="2429">
      <c r="A2429" t="n">
        <v>2421</v>
      </c>
      <c r="B2429" t="n">
        <v>0</v>
      </c>
      <c r="C2429" t="n">
        <v>0</v>
      </c>
      <c r="D2429" t="n">
        <v>2627.670986889335</v>
      </c>
      <c r="E2429">
        <f>C2429&lt;0.05</f>
        <v/>
      </c>
      <c r="F2429">
        <f>A2429=$B$5</f>
        <v/>
      </c>
      <c r="G2429">
        <f>IF(E2429,A2429,10^9)</f>
        <v/>
      </c>
      <c r="H2429">
        <f>IF(E2429,D2429,10^9)</f>
        <v/>
      </c>
    </row>
    <row r="2430">
      <c r="A2430" t="n">
        <v>2422</v>
      </c>
      <c r="B2430" t="n">
        <v>0</v>
      </c>
      <c r="C2430" t="n">
        <v>0</v>
      </c>
      <c r="D2430" t="n">
        <v>2628.670986889335</v>
      </c>
      <c r="E2430">
        <f>C2430&lt;0.05</f>
        <v/>
      </c>
      <c r="F2430">
        <f>A2430=$B$5</f>
        <v/>
      </c>
      <c r="G2430">
        <f>IF(E2430,A2430,10^9)</f>
        <v/>
      </c>
      <c r="H2430">
        <f>IF(E2430,D2430,10^9)</f>
        <v/>
      </c>
    </row>
    <row r="2431">
      <c r="A2431" t="n">
        <v>2423</v>
      </c>
      <c r="B2431" t="n">
        <v>0</v>
      </c>
      <c r="C2431" t="n">
        <v>0</v>
      </c>
      <c r="D2431" t="n">
        <v>2629.670986889335</v>
      </c>
      <c r="E2431">
        <f>C2431&lt;0.05</f>
        <v/>
      </c>
      <c r="F2431">
        <f>A2431=$B$5</f>
        <v/>
      </c>
      <c r="G2431">
        <f>IF(E2431,A2431,10^9)</f>
        <v/>
      </c>
      <c r="H2431">
        <f>IF(E2431,D2431,10^9)</f>
        <v/>
      </c>
    </row>
    <row r="2432">
      <c r="A2432" t="n">
        <v>2424</v>
      </c>
      <c r="B2432" t="n">
        <v>0</v>
      </c>
      <c r="C2432" t="n">
        <v>0</v>
      </c>
      <c r="D2432" t="n">
        <v>2630.670986889335</v>
      </c>
      <c r="E2432">
        <f>C2432&lt;0.05</f>
        <v/>
      </c>
      <c r="F2432">
        <f>A2432=$B$5</f>
        <v/>
      </c>
      <c r="G2432">
        <f>IF(E2432,A2432,10^9)</f>
        <v/>
      </c>
      <c r="H2432">
        <f>IF(E2432,D2432,10^9)</f>
        <v/>
      </c>
    </row>
    <row r="2433">
      <c r="A2433" t="n">
        <v>2425</v>
      </c>
      <c r="B2433" t="n">
        <v>0</v>
      </c>
      <c r="C2433" t="n">
        <v>0</v>
      </c>
      <c r="D2433" t="n">
        <v>2631.670986889335</v>
      </c>
      <c r="E2433">
        <f>C2433&lt;0.05</f>
        <v/>
      </c>
      <c r="F2433">
        <f>A2433=$B$5</f>
        <v/>
      </c>
      <c r="G2433">
        <f>IF(E2433,A2433,10^9)</f>
        <v/>
      </c>
      <c r="H2433">
        <f>IF(E2433,D2433,10^9)</f>
        <v/>
      </c>
    </row>
    <row r="2434">
      <c r="A2434" t="n">
        <v>2426</v>
      </c>
      <c r="B2434" t="n">
        <v>0</v>
      </c>
      <c r="C2434" t="n">
        <v>0</v>
      </c>
      <c r="D2434" t="n">
        <v>2632.670986889335</v>
      </c>
      <c r="E2434">
        <f>C2434&lt;0.05</f>
        <v/>
      </c>
      <c r="F2434">
        <f>A2434=$B$5</f>
        <v/>
      </c>
      <c r="G2434">
        <f>IF(E2434,A2434,10^9)</f>
        <v/>
      </c>
      <c r="H2434">
        <f>IF(E2434,D2434,10^9)</f>
        <v/>
      </c>
    </row>
    <row r="2435">
      <c r="A2435" t="n">
        <v>2427</v>
      </c>
      <c r="B2435" t="n">
        <v>0</v>
      </c>
      <c r="C2435" t="n">
        <v>0</v>
      </c>
      <c r="D2435" t="n">
        <v>2633.670986889335</v>
      </c>
      <c r="E2435">
        <f>C2435&lt;0.05</f>
        <v/>
      </c>
      <c r="F2435">
        <f>A2435=$B$5</f>
        <v/>
      </c>
      <c r="G2435">
        <f>IF(E2435,A2435,10^9)</f>
        <v/>
      </c>
      <c r="H2435">
        <f>IF(E2435,D2435,10^9)</f>
        <v/>
      </c>
    </row>
    <row r="2436">
      <c r="A2436" t="n">
        <v>2428</v>
      </c>
      <c r="B2436" t="n">
        <v>0</v>
      </c>
      <c r="C2436" t="n">
        <v>0</v>
      </c>
      <c r="D2436" t="n">
        <v>2634.670986889335</v>
      </c>
      <c r="E2436">
        <f>C2436&lt;0.05</f>
        <v/>
      </c>
      <c r="F2436">
        <f>A2436=$B$5</f>
        <v/>
      </c>
      <c r="G2436">
        <f>IF(E2436,A2436,10^9)</f>
        <v/>
      </c>
      <c r="H2436">
        <f>IF(E2436,D2436,10^9)</f>
        <v/>
      </c>
    </row>
    <row r="2437">
      <c r="A2437" t="n">
        <v>2429</v>
      </c>
      <c r="B2437" t="n">
        <v>0</v>
      </c>
      <c r="C2437" t="n">
        <v>0</v>
      </c>
      <c r="D2437" t="n">
        <v>2635.670986889335</v>
      </c>
      <c r="E2437">
        <f>C2437&lt;0.05</f>
        <v/>
      </c>
      <c r="F2437">
        <f>A2437=$B$5</f>
        <v/>
      </c>
      <c r="G2437">
        <f>IF(E2437,A2437,10^9)</f>
        <v/>
      </c>
      <c r="H2437">
        <f>IF(E2437,D2437,10^9)</f>
        <v/>
      </c>
    </row>
    <row r="2438">
      <c r="A2438" t="n">
        <v>2430</v>
      </c>
      <c r="B2438" t="n">
        <v>0</v>
      </c>
      <c r="C2438" t="n">
        <v>0</v>
      </c>
      <c r="D2438" t="n">
        <v>2636.670986889336</v>
      </c>
      <c r="E2438">
        <f>C2438&lt;0.05</f>
        <v/>
      </c>
      <c r="F2438">
        <f>A2438=$B$5</f>
        <v/>
      </c>
      <c r="G2438">
        <f>IF(E2438,A2438,10^9)</f>
        <v/>
      </c>
      <c r="H2438">
        <f>IF(E2438,D2438,10^9)</f>
        <v/>
      </c>
    </row>
    <row r="2439">
      <c r="A2439" t="n">
        <v>2431</v>
      </c>
      <c r="B2439" t="n">
        <v>0</v>
      </c>
      <c r="C2439" t="n">
        <v>0</v>
      </c>
      <c r="D2439" t="n">
        <v>2637.670986889336</v>
      </c>
      <c r="E2439">
        <f>C2439&lt;0.05</f>
        <v/>
      </c>
      <c r="F2439">
        <f>A2439=$B$5</f>
        <v/>
      </c>
      <c r="G2439">
        <f>IF(E2439,A2439,10^9)</f>
        <v/>
      </c>
      <c r="H2439">
        <f>IF(E2439,D2439,10^9)</f>
        <v/>
      </c>
    </row>
    <row r="2440">
      <c r="A2440" t="n">
        <v>2432</v>
      </c>
      <c r="B2440" t="n">
        <v>0</v>
      </c>
      <c r="C2440" t="n">
        <v>0</v>
      </c>
      <c r="D2440" t="n">
        <v>2638.670986889336</v>
      </c>
      <c r="E2440">
        <f>C2440&lt;0.05</f>
        <v/>
      </c>
      <c r="F2440">
        <f>A2440=$B$5</f>
        <v/>
      </c>
      <c r="G2440">
        <f>IF(E2440,A2440,10^9)</f>
        <v/>
      </c>
      <c r="H2440">
        <f>IF(E2440,D2440,10^9)</f>
        <v/>
      </c>
    </row>
    <row r="2441">
      <c r="A2441" t="n">
        <v>2433</v>
      </c>
      <c r="B2441" t="n">
        <v>0</v>
      </c>
      <c r="C2441" t="n">
        <v>0</v>
      </c>
      <c r="D2441" t="n">
        <v>2639.670986889336</v>
      </c>
      <c r="E2441">
        <f>C2441&lt;0.05</f>
        <v/>
      </c>
      <c r="F2441">
        <f>A2441=$B$5</f>
        <v/>
      </c>
      <c r="G2441">
        <f>IF(E2441,A2441,10^9)</f>
        <v/>
      </c>
      <c r="H2441">
        <f>IF(E2441,D2441,10^9)</f>
        <v/>
      </c>
    </row>
    <row r="2442">
      <c r="A2442" t="n">
        <v>2434</v>
      </c>
      <c r="B2442" t="n">
        <v>0</v>
      </c>
      <c r="C2442" t="n">
        <v>0</v>
      </c>
      <c r="D2442" t="n">
        <v>2640.670986889336</v>
      </c>
      <c r="E2442">
        <f>C2442&lt;0.05</f>
        <v/>
      </c>
      <c r="F2442">
        <f>A2442=$B$5</f>
        <v/>
      </c>
      <c r="G2442">
        <f>IF(E2442,A2442,10^9)</f>
        <v/>
      </c>
      <c r="H2442">
        <f>IF(E2442,D2442,10^9)</f>
        <v/>
      </c>
    </row>
    <row r="2443">
      <c r="A2443" t="n">
        <v>2435</v>
      </c>
      <c r="B2443" t="n">
        <v>0</v>
      </c>
      <c r="C2443" t="n">
        <v>0</v>
      </c>
      <c r="D2443" t="n">
        <v>2641.670986889336</v>
      </c>
      <c r="E2443">
        <f>C2443&lt;0.05</f>
        <v/>
      </c>
      <c r="F2443">
        <f>A2443=$B$5</f>
        <v/>
      </c>
      <c r="G2443">
        <f>IF(E2443,A2443,10^9)</f>
        <v/>
      </c>
      <c r="H2443">
        <f>IF(E2443,D2443,10^9)</f>
        <v/>
      </c>
    </row>
    <row r="2444">
      <c r="A2444" t="n">
        <v>2436</v>
      </c>
      <c r="B2444" t="n">
        <v>0</v>
      </c>
      <c r="C2444" t="n">
        <v>0</v>
      </c>
      <c r="D2444" t="n">
        <v>2642.670986889336</v>
      </c>
      <c r="E2444">
        <f>C2444&lt;0.05</f>
        <v/>
      </c>
      <c r="F2444">
        <f>A2444=$B$5</f>
        <v/>
      </c>
      <c r="G2444">
        <f>IF(E2444,A2444,10^9)</f>
        <v/>
      </c>
      <c r="H2444">
        <f>IF(E2444,D2444,10^9)</f>
        <v/>
      </c>
    </row>
    <row r="2445">
      <c r="A2445" t="n">
        <v>2437</v>
      </c>
      <c r="B2445" t="n">
        <v>0</v>
      </c>
      <c r="C2445" t="n">
        <v>0</v>
      </c>
      <c r="D2445" t="n">
        <v>2643.670986889336</v>
      </c>
      <c r="E2445">
        <f>C2445&lt;0.05</f>
        <v/>
      </c>
      <c r="F2445">
        <f>A2445=$B$5</f>
        <v/>
      </c>
      <c r="G2445">
        <f>IF(E2445,A2445,10^9)</f>
        <v/>
      </c>
      <c r="H2445">
        <f>IF(E2445,D2445,10^9)</f>
        <v/>
      </c>
    </row>
    <row r="2446">
      <c r="A2446" t="n">
        <v>2438</v>
      </c>
      <c r="B2446" t="n">
        <v>0</v>
      </c>
      <c r="C2446" t="n">
        <v>0</v>
      </c>
      <c r="D2446" t="n">
        <v>2644.670986889336</v>
      </c>
      <c r="E2446">
        <f>C2446&lt;0.05</f>
        <v/>
      </c>
      <c r="F2446">
        <f>A2446=$B$5</f>
        <v/>
      </c>
      <c r="G2446">
        <f>IF(E2446,A2446,10^9)</f>
        <v/>
      </c>
      <c r="H2446">
        <f>IF(E2446,D2446,10^9)</f>
        <v/>
      </c>
    </row>
    <row r="2447">
      <c r="A2447" t="n">
        <v>2439</v>
      </c>
      <c r="B2447" t="n">
        <v>0</v>
      </c>
      <c r="C2447" t="n">
        <v>0</v>
      </c>
      <c r="D2447" t="n">
        <v>2645.670986889336</v>
      </c>
      <c r="E2447">
        <f>C2447&lt;0.05</f>
        <v/>
      </c>
      <c r="F2447">
        <f>A2447=$B$5</f>
        <v/>
      </c>
      <c r="G2447">
        <f>IF(E2447,A2447,10^9)</f>
        <v/>
      </c>
      <c r="H2447">
        <f>IF(E2447,D2447,10^9)</f>
        <v/>
      </c>
    </row>
    <row r="2448">
      <c r="A2448" t="n">
        <v>2440</v>
      </c>
      <c r="B2448" t="n">
        <v>0</v>
      </c>
      <c r="C2448" t="n">
        <v>0</v>
      </c>
      <c r="D2448" t="n">
        <v>2646.670986889336</v>
      </c>
      <c r="E2448">
        <f>C2448&lt;0.05</f>
        <v/>
      </c>
      <c r="F2448">
        <f>A2448=$B$5</f>
        <v/>
      </c>
      <c r="G2448">
        <f>IF(E2448,A2448,10^9)</f>
        <v/>
      </c>
      <c r="H2448">
        <f>IF(E2448,D2448,10^9)</f>
        <v/>
      </c>
    </row>
    <row r="2449">
      <c r="A2449" t="n">
        <v>2441</v>
      </c>
      <c r="B2449" t="n">
        <v>0</v>
      </c>
      <c r="C2449" t="n">
        <v>0</v>
      </c>
      <c r="D2449" t="n">
        <v>2647.670986889336</v>
      </c>
      <c r="E2449">
        <f>C2449&lt;0.05</f>
        <v/>
      </c>
      <c r="F2449">
        <f>A2449=$B$5</f>
        <v/>
      </c>
      <c r="G2449">
        <f>IF(E2449,A2449,10^9)</f>
        <v/>
      </c>
      <c r="H2449">
        <f>IF(E2449,D2449,10^9)</f>
        <v/>
      </c>
    </row>
    <row r="2450">
      <c r="A2450" t="n">
        <v>2442</v>
      </c>
      <c r="B2450" t="n">
        <v>0</v>
      </c>
      <c r="C2450" t="n">
        <v>0</v>
      </c>
      <c r="D2450" t="n">
        <v>2648.670986889336</v>
      </c>
      <c r="E2450">
        <f>C2450&lt;0.05</f>
        <v/>
      </c>
      <c r="F2450">
        <f>A2450=$B$5</f>
        <v/>
      </c>
      <c r="G2450">
        <f>IF(E2450,A2450,10^9)</f>
        <v/>
      </c>
      <c r="H2450">
        <f>IF(E2450,D2450,10^9)</f>
        <v/>
      </c>
    </row>
    <row r="2451">
      <c r="A2451" t="n">
        <v>2443</v>
      </c>
      <c r="B2451" t="n">
        <v>0</v>
      </c>
      <c r="C2451" t="n">
        <v>0</v>
      </c>
      <c r="D2451" t="n">
        <v>2649.670986889336</v>
      </c>
      <c r="E2451">
        <f>C2451&lt;0.05</f>
        <v/>
      </c>
      <c r="F2451">
        <f>A2451=$B$5</f>
        <v/>
      </c>
      <c r="G2451">
        <f>IF(E2451,A2451,10^9)</f>
        <v/>
      </c>
      <c r="H2451">
        <f>IF(E2451,D2451,10^9)</f>
        <v/>
      </c>
    </row>
    <row r="2452">
      <c r="A2452" t="n">
        <v>2444</v>
      </c>
      <c r="B2452" t="n">
        <v>0</v>
      </c>
      <c r="C2452" t="n">
        <v>0</v>
      </c>
      <c r="D2452" t="n">
        <v>2650.670986889336</v>
      </c>
      <c r="E2452">
        <f>C2452&lt;0.05</f>
        <v/>
      </c>
      <c r="F2452">
        <f>A2452=$B$5</f>
        <v/>
      </c>
      <c r="G2452">
        <f>IF(E2452,A2452,10^9)</f>
        <v/>
      </c>
      <c r="H2452">
        <f>IF(E2452,D2452,10^9)</f>
        <v/>
      </c>
    </row>
    <row r="2453">
      <c r="A2453" t="n">
        <v>2445</v>
      </c>
      <c r="B2453" t="n">
        <v>0</v>
      </c>
      <c r="C2453" t="n">
        <v>0</v>
      </c>
      <c r="D2453" t="n">
        <v>2651.670986889336</v>
      </c>
      <c r="E2453">
        <f>C2453&lt;0.05</f>
        <v/>
      </c>
      <c r="F2453">
        <f>A2453=$B$5</f>
        <v/>
      </c>
      <c r="G2453">
        <f>IF(E2453,A2453,10^9)</f>
        <v/>
      </c>
      <c r="H2453">
        <f>IF(E2453,D2453,10^9)</f>
        <v/>
      </c>
    </row>
    <row r="2454">
      <c r="A2454" t="n">
        <v>2446</v>
      </c>
      <c r="B2454" t="n">
        <v>0</v>
      </c>
      <c r="C2454" t="n">
        <v>0</v>
      </c>
      <c r="D2454" t="n">
        <v>2652.670986889336</v>
      </c>
      <c r="E2454">
        <f>C2454&lt;0.05</f>
        <v/>
      </c>
      <c r="F2454">
        <f>A2454=$B$5</f>
        <v/>
      </c>
      <c r="G2454">
        <f>IF(E2454,A2454,10^9)</f>
        <v/>
      </c>
      <c r="H2454">
        <f>IF(E2454,D2454,10^9)</f>
        <v/>
      </c>
    </row>
    <row r="2455">
      <c r="A2455" t="n">
        <v>2447</v>
      </c>
      <c r="B2455" t="n">
        <v>0</v>
      </c>
      <c r="C2455" t="n">
        <v>0</v>
      </c>
      <c r="D2455" t="n">
        <v>2653.670986889336</v>
      </c>
      <c r="E2455">
        <f>C2455&lt;0.05</f>
        <v/>
      </c>
      <c r="F2455">
        <f>A2455=$B$5</f>
        <v/>
      </c>
      <c r="G2455">
        <f>IF(E2455,A2455,10^9)</f>
        <v/>
      </c>
      <c r="H2455">
        <f>IF(E2455,D2455,10^9)</f>
        <v/>
      </c>
    </row>
    <row r="2456">
      <c r="A2456" t="n">
        <v>2448</v>
      </c>
      <c r="B2456" t="n">
        <v>0</v>
      </c>
      <c r="C2456" t="n">
        <v>0</v>
      </c>
      <c r="D2456" t="n">
        <v>2654.670986889336</v>
      </c>
      <c r="E2456">
        <f>C2456&lt;0.05</f>
        <v/>
      </c>
      <c r="F2456">
        <f>A2456=$B$5</f>
        <v/>
      </c>
      <c r="G2456">
        <f>IF(E2456,A2456,10^9)</f>
        <v/>
      </c>
      <c r="H2456">
        <f>IF(E2456,D2456,10^9)</f>
        <v/>
      </c>
    </row>
    <row r="2457">
      <c r="A2457" t="n">
        <v>2449</v>
      </c>
      <c r="B2457" t="n">
        <v>0</v>
      </c>
      <c r="C2457" t="n">
        <v>0</v>
      </c>
      <c r="D2457" t="n">
        <v>2655.670986889336</v>
      </c>
      <c r="E2457">
        <f>C2457&lt;0.05</f>
        <v/>
      </c>
      <c r="F2457">
        <f>A2457=$B$5</f>
        <v/>
      </c>
      <c r="G2457">
        <f>IF(E2457,A2457,10^9)</f>
        <v/>
      </c>
      <c r="H2457">
        <f>IF(E2457,D2457,10^9)</f>
        <v/>
      </c>
    </row>
    <row r="2458">
      <c r="A2458" t="n">
        <v>2450</v>
      </c>
      <c r="B2458" t="n">
        <v>0</v>
      </c>
      <c r="C2458" t="n">
        <v>0</v>
      </c>
      <c r="D2458" t="n">
        <v>2656.670986889336</v>
      </c>
      <c r="E2458">
        <f>C2458&lt;0.05</f>
        <v/>
      </c>
      <c r="F2458">
        <f>A2458=$B$5</f>
        <v/>
      </c>
      <c r="G2458">
        <f>IF(E2458,A2458,10^9)</f>
        <v/>
      </c>
      <c r="H2458">
        <f>IF(E2458,D2458,10^9)</f>
        <v/>
      </c>
    </row>
    <row r="2459">
      <c r="A2459" t="n">
        <v>2451</v>
      </c>
      <c r="B2459" t="n">
        <v>0</v>
      </c>
      <c r="C2459" t="n">
        <v>0</v>
      </c>
      <c r="D2459" t="n">
        <v>2657.670986889336</v>
      </c>
      <c r="E2459">
        <f>C2459&lt;0.05</f>
        <v/>
      </c>
      <c r="F2459">
        <f>A2459=$B$5</f>
        <v/>
      </c>
      <c r="G2459">
        <f>IF(E2459,A2459,10^9)</f>
        <v/>
      </c>
      <c r="H2459">
        <f>IF(E2459,D2459,10^9)</f>
        <v/>
      </c>
    </row>
    <row r="2460">
      <c r="A2460" t="n">
        <v>2452</v>
      </c>
      <c r="B2460" t="n">
        <v>0</v>
      </c>
      <c r="C2460" t="n">
        <v>0</v>
      </c>
      <c r="D2460" t="n">
        <v>2658.670986889336</v>
      </c>
      <c r="E2460">
        <f>C2460&lt;0.05</f>
        <v/>
      </c>
      <c r="F2460">
        <f>A2460=$B$5</f>
        <v/>
      </c>
      <c r="G2460">
        <f>IF(E2460,A2460,10^9)</f>
        <v/>
      </c>
      <c r="H2460">
        <f>IF(E2460,D2460,10^9)</f>
        <v/>
      </c>
    </row>
    <row r="2461">
      <c r="A2461" t="n">
        <v>2453</v>
      </c>
      <c r="B2461" t="n">
        <v>0</v>
      </c>
      <c r="C2461" t="n">
        <v>0</v>
      </c>
      <c r="D2461" t="n">
        <v>2659.670986889336</v>
      </c>
      <c r="E2461">
        <f>C2461&lt;0.05</f>
        <v/>
      </c>
      <c r="F2461">
        <f>A2461=$B$5</f>
        <v/>
      </c>
      <c r="G2461">
        <f>IF(E2461,A2461,10^9)</f>
        <v/>
      </c>
      <c r="H2461">
        <f>IF(E2461,D2461,10^9)</f>
        <v/>
      </c>
    </row>
    <row r="2462">
      <c r="A2462" t="n">
        <v>2454</v>
      </c>
      <c r="B2462" t="n">
        <v>0</v>
      </c>
      <c r="C2462" t="n">
        <v>0</v>
      </c>
      <c r="D2462" t="n">
        <v>2660.670986889336</v>
      </c>
      <c r="E2462">
        <f>C2462&lt;0.05</f>
        <v/>
      </c>
      <c r="F2462">
        <f>A2462=$B$5</f>
        <v/>
      </c>
      <c r="G2462">
        <f>IF(E2462,A2462,10^9)</f>
        <v/>
      </c>
      <c r="H2462">
        <f>IF(E2462,D2462,10^9)</f>
        <v/>
      </c>
    </row>
    <row r="2463">
      <c r="A2463" t="n">
        <v>2455</v>
      </c>
      <c r="B2463" t="n">
        <v>0</v>
      </c>
      <c r="C2463" t="n">
        <v>0</v>
      </c>
      <c r="D2463" t="n">
        <v>2661.670986889336</v>
      </c>
      <c r="E2463">
        <f>C2463&lt;0.05</f>
        <v/>
      </c>
      <c r="F2463">
        <f>A2463=$B$5</f>
        <v/>
      </c>
      <c r="G2463">
        <f>IF(E2463,A2463,10^9)</f>
        <v/>
      </c>
      <c r="H2463">
        <f>IF(E2463,D2463,10^9)</f>
        <v/>
      </c>
    </row>
    <row r="2464">
      <c r="A2464" t="n">
        <v>2456</v>
      </c>
      <c r="B2464" t="n">
        <v>0</v>
      </c>
      <c r="C2464" t="n">
        <v>0</v>
      </c>
      <c r="D2464" t="n">
        <v>2662.670986889336</v>
      </c>
      <c r="E2464">
        <f>C2464&lt;0.05</f>
        <v/>
      </c>
      <c r="F2464">
        <f>A2464=$B$5</f>
        <v/>
      </c>
      <c r="G2464">
        <f>IF(E2464,A2464,10^9)</f>
        <v/>
      </c>
      <c r="H2464">
        <f>IF(E2464,D2464,10^9)</f>
        <v/>
      </c>
    </row>
    <row r="2465">
      <c r="A2465" t="n">
        <v>2457</v>
      </c>
      <c r="B2465" t="n">
        <v>0</v>
      </c>
      <c r="C2465" t="n">
        <v>0</v>
      </c>
      <c r="D2465" t="n">
        <v>2663.670986889336</v>
      </c>
      <c r="E2465">
        <f>C2465&lt;0.05</f>
        <v/>
      </c>
      <c r="F2465">
        <f>A2465=$B$5</f>
        <v/>
      </c>
      <c r="G2465">
        <f>IF(E2465,A2465,10^9)</f>
        <v/>
      </c>
      <c r="H2465">
        <f>IF(E2465,D2465,10^9)</f>
        <v/>
      </c>
    </row>
    <row r="2466">
      <c r="A2466" t="n">
        <v>2458</v>
      </c>
      <c r="B2466" t="n">
        <v>0</v>
      </c>
      <c r="C2466" t="n">
        <v>0</v>
      </c>
      <c r="D2466" t="n">
        <v>2664.670986889336</v>
      </c>
      <c r="E2466">
        <f>C2466&lt;0.05</f>
        <v/>
      </c>
      <c r="F2466">
        <f>A2466=$B$5</f>
        <v/>
      </c>
      <c r="G2466">
        <f>IF(E2466,A2466,10^9)</f>
        <v/>
      </c>
      <c r="H2466">
        <f>IF(E2466,D2466,10^9)</f>
        <v/>
      </c>
    </row>
    <row r="2467">
      <c r="A2467" t="n">
        <v>2459</v>
      </c>
      <c r="B2467" t="n">
        <v>0</v>
      </c>
      <c r="C2467" t="n">
        <v>0</v>
      </c>
      <c r="D2467" t="n">
        <v>2665.670986889336</v>
      </c>
      <c r="E2467">
        <f>C2467&lt;0.05</f>
        <v/>
      </c>
      <c r="F2467">
        <f>A2467=$B$5</f>
        <v/>
      </c>
      <c r="G2467">
        <f>IF(E2467,A2467,10^9)</f>
        <v/>
      </c>
      <c r="H2467">
        <f>IF(E2467,D2467,10^9)</f>
        <v/>
      </c>
    </row>
    <row r="2468">
      <c r="A2468" t="n">
        <v>2460</v>
      </c>
      <c r="B2468" t="n">
        <v>0</v>
      </c>
      <c r="C2468" t="n">
        <v>0</v>
      </c>
      <c r="D2468" t="n">
        <v>2666.670986889336</v>
      </c>
      <c r="E2468">
        <f>C2468&lt;0.05</f>
        <v/>
      </c>
      <c r="F2468">
        <f>A2468=$B$5</f>
        <v/>
      </c>
      <c r="G2468">
        <f>IF(E2468,A2468,10^9)</f>
        <v/>
      </c>
      <c r="H2468">
        <f>IF(E2468,D2468,10^9)</f>
        <v/>
      </c>
    </row>
    <row r="2469">
      <c r="A2469" t="n">
        <v>2461</v>
      </c>
      <c r="B2469" t="n">
        <v>0</v>
      </c>
      <c r="C2469" t="n">
        <v>0</v>
      </c>
      <c r="D2469" t="n">
        <v>2667.670986889336</v>
      </c>
      <c r="E2469">
        <f>C2469&lt;0.05</f>
        <v/>
      </c>
      <c r="F2469">
        <f>A2469=$B$5</f>
        <v/>
      </c>
      <c r="G2469">
        <f>IF(E2469,A2469,10^9)</f>
        <v/>
      </c>
      <c r="H2469">
        <f>IF(E2469,D2469,10^9)</f>
        <v/>
      </c>
    </row>
    <row r="2470">
      <c r="A2470" t="n">
        <v>2462</v>
      </c>
      <c r="B2470" t="n">
        <v>0</v>
      </c>
      <c r="C2470" t="n">
        <v>0</v>
      </c>
      <c r="D2470" t="n">
        <v>2668.670986889336</v>
      </c>
      <c r="E2470">
        <f>C2470&lt;0.05</f>
        <v/>
      </c>
      <c r="F2470">
        <f>A2470=$B$5</f>
        <v/>
      </c>
      <c r="G2470">
        <f>IF(E2470,A2470,10^9)</f>
        <v/>
      </c>
      <c r="H2470">
        <f>IF(E2470,D2470,10^9)</f>
        <v/>
      </c>
    </row>
    <row r="2471">
      <c r="A2471" t="n">
        <v>2463</v>
      </c>
      <c r="B2471" t="n">
        <v>0</v>
      </c>
      <c r="C2471" t="n">
        <v>0</v>
      </c>
      <c r="D2471" t="n">
        <v>2669.670986889336</v>
      </c>
      <c r="E2471">
        <f>C2471&lt;0.05</f>
        <v/>
      </c>
      <c r="F2471">
        <f>A2471=$B$5</f>
        <v/>
      </c>
      <c r="G2471">
        <f>IF(E2471,A2471,10^9)</f>
        <v/>
      </c>
      <c r="H2471">
        <f>IF(E2471,D2471,10^9)</f>
        <v/>
      </c>
    </row>
    <row r="2472">
      <c r="A2472" t="n">
        <v>2464</v>
      </c>
      <c r="B2472" t="n">
        <v>0</v>
      </c>
      <c r="C2472" t="n">
        <v>0</v>
      </c>
      <c r="D2472" t="n">
        <v>2670.670986889336</v>
      </c>
      <c r="E2472">
        <f>C2472&lt;0.05</f>
        <v/>
      </c>
      <c r="F2472">
        <f>A2472=$B$5</f>
        <v/>
      </c>
      <c r="G2472">
        <f>IF(E2472,A2472,10^9)</f>
        <v/>
      </c>
      <c r="H2472">
        <f>IF(E2472,D2472,10^9)</f>
        <v/>
      </c>
    </row>
    <row r="2473">
      <c r="A2473" t="n">
        <v>2465</v>
      </c>
      <c r="B2473" t="n">
        <v>0</v>
      </c>
      <c r="C2473" t="n">
        <v>0</v>
      </c>
      <c r="D2473" t="n">
        <v>2671.670986889336</v>
      </c>
      <c r="E2473">
        <f>C2473&lt;0.05</f>
        <v/>
      </c>
      <c r="F2473">
        <f>A2473=$B$5</f>
        <v/>
      </c>
      <c r="G2473">
        <f>IF(E2473,A2473,10^9)</f>
        <v/>
      </c>
      <c r="H2473">
        <f>IF(E2473,D2473,10^9)</f>
        <v/>
      </c>
    </row>
    <row r="2474">
      <c r="A2474" t="n">
        <v>2466</v>
      </c>
      <c r="B2474" t="n">
        <v>0</v>
      </c>
      <c r="C2474" t="n">
        <v>0</v>
      </c>
      <c r="D2474" t="n">
        <v>2672.670986889336</v>
      </c>
      <c r="E2474">
        <f>C2474&lt;0.05</f>
        <v/>
      </c>
      <c r="F2474">
        <f>A2474=$B$5</f>
        <v/>
      </c>
      <c r="G2474">
        <f>IF(E2474,A2474,10^9)</f>
        <v/>
      </c>
      <c r="H2474">
        <f>IF(E2474,D2474,10^9)</f>
        <v/>
      </c>
    </row>
    <row r="2475">
      <c r="A2475" t="n">
        <v>2467</v>
      </c>
      <c r="B2475" t="n">
        <v>0</v>
      </c>
      <c r="C2475" t="n">
        <v>0</v>
      </c>
      <c r="D2475" t="n">
        <v>2673.670986889336</v>
      </c>
      <c r="E2475">
        <f>C2475&lt;0.05</f>
        <v/>
      </c>
      <c r="F2475">
        <f>A2475=$B$5</f>
        <v/>
      </c>
      <c r="G2475">
        <f>IF(E2475,A2475,10^9)</f>
        <v/>
      </c>
      <c r="H2475">
        <f>IF(E2475,D2475,10^9)</f>
        <v/>
      </c>
    </row>
    <row r="2476">
      <c r="A2476" t="n">
        <v>2468</v>
      </c>
      <c r="B2476" t="n">
        <v>0</v>
      </c>
      <c r="C2476" t="n">
        <v>0</v>
      </c>
      <c r="D2476" t="n">
        <v>2674.670986889336</v>
      </c>
      <c r="E2476">
        <f>C2476&lt;0.05</f>
        <v/>
      </c>
      <c r="F2476">
        <f>A2476=$B$5</f>
        <v/>
      </c>
      <c r="G2476">
        <f>IF(E2476,A2476,10^9)</f>
        <v/>
      </c>
      <c r="H2476">
        <f>IF(E2476,D2476,10^9)</f>
        <v/>
      </c>
    </row>
    <row r="2477">
      <c r="A2477" t="n">
        <v>2469</v>
      </c>
      <c r="B2477" t="n">
        <v>0</v>
      </c>
      <c r="C2477" t="n">
        <v>0</v>
      </c>
      <c r="D2477" t="n">
        <v>2675.670986889336</v>
      </c>
      <c r="E2477">
        <f>C2477&lt;0.05</f>
        <v/>
      </c>
      <c r="F2477">
        <f>A2477=$B$5</f>
        <v/>
      </c>
      <c r="G2477">
        <f>IF(E2477,A2477,10^9)</f>
        <v/>
      </c>
      <c r="H2477">
        <f>IF(E2477,D2477,10^9)</f>
        <v/>
      </c>
    </row>
    <row r="2478">
      <c r="A2478" t="n">
        <v>2470</v>
      </c>
      <c r="B2478" t="n">
        <v>0</v>
      </c>
      <c r="C2478" t="n">
        <v>0</v>
      </c>
      <c r="D2478" t="n">
        <v>2676.670986889336</v>
      </c>
      <c r="E2478">
        <f>C2478&lt;0.05</f>
        <v/>
      </c>
      <c r="F2478">
        <f>A2478=$B$5</f>
        <v/>
      </c>
      <c r="G2478">
        <f>IF(E2478,A2478,10^9)</f>
        <v/>
      </c>
      <c r="H2478">
        <f>IF(E2478,D2478,10^9)</f>
        <v/>
      </c>
    </row>
    <row r="2479">
      <c r="A2479" t="n">
        <v>2471</v>
      </c>
      <c r="B2479" t="n">
        <v>0</v>
      </c>
      <c r="C2479" t="n">
        <v>0</v>
      </c>
      <c r="D2479" t="n">
        <v>2677.670986889336</v>
      </c>
      <c r="E2479">
        <f>C2479&lt;0.05</f>
        <v/>
      </c>
      <c r="F2479">
        <f>A2479=$B$5</f>
        <v/>
      </c>
      <c r="G2479">
        <f>IF(E2479,A2479,10^9)</f>
        <v/>
      </c>
      <c r="H2479">
        <f>IF(E2479,D2479,10^9)</f>
        <v/>
      </c>
    </row>
    <row r="2480">
      <c r="A2480" t="n">
        <v>2472</v>
      </c>
      <c r="B2480" t="n">
        <v>0</v>
      </c>
      <c r="C2480" t="n">
        <v>0</v>
      </c>
      <c r="D2480" t="n">
        <v>2678.670986889336</v>
      </c>
      <c r="E2480">
        <f>C2480&lt;0.05</f>
        <v/>
      </c>
      <c r="F2480">
        <f>A2480=$B$5</f>
        <v/>
      </c>
      <c r="G2480">
        <f>IF(E2480,A2480,10^9)</f>
        <v/>
      </c>
      <c r="H2480">
        <f>IF(E2480,D2480,10^9)</f>
        <v/>
      </c>
    </row>
    <row r="2481">
      <c r="A2481" t="n">
        <v>2473</v>
      </c>
      <c r="B2481" t="n">
        <v>0</v>
      </c>
      <c r="C2481" t="n">
        <v>0</v>
      </c>
      <c r="D2481" t="n">
        <v>2679.670986889336</v>
      </c>
      <c r="E2481">
        <f>C2481&lt;0.05</f>
        <v/>
      </c>
      <c r="F2481">
        <f>A2481=$B$5</f>
        <v/>
      </c>
      <c r="G2481">
        <f>IF(E2481,A2481,10^9)</f>
        <v/>
      </c>
      <c r="H2481">
        <f>IF(E2481,D2481,10^9)</f>
        <v/>
      </c>
    </row>
    <row r="2482">
      <c r="A2482" t="n">
        <v>2474</v>
      </c>
      <c r="B2482" t="n">
        <v>0</v>
      </c>
      <c r="C2482" t="n">
        <v>0</v>
      </c>
      <c r="D2482" t="n">
        <v>2680.670986889336</v>
      </c>
      <c r="E2482">
        <f>C2482&lt;0.05</f>
        <v/>
      </c>
      <c r="F2482">
        <f>A2482=$B$5</f>
        <v/>
      </c>
      <c r="G2482">
        <f>IF(E2482,A2482,10^9)</f>
        <v/>
      </c>
      <c r="H2482">
        <f>IF(E2482,D2482,10^9)</f>
        <v/>
      </c>
    </row>
    <row r="2483">
      <c r="A2483" t="n">
        <v>2475</v>
      </c>
      <c r="B2483" t="n">
        <v>0</v>
      </c>
      <c r="C2483" t="n">
        <v>0</v>
      </c>
      <c r="D2483" t="n">
        <v>2681.670986889336</v>
      </c>
      <c r="E2483">
        <f>C2483&lt;0.05</f>
        <v/>
      </c>
      <c r="F2483">
        <f>A2483=$B$5</f>
        <v/>
      </c>
      <c r="G2483">
        <f>IF(E2483,A2483,10^9)</f>
        <v/>
      </c>
      <c r="H2483">
        <f>IF(E2483,D2483,10^9)</f>
        <v/>
      </c>
    </row>
    <row r="2484">
      <c r="A2484" t="n">
        <v>2476</v>
      </c>
      <c r="B2484" t="n">
        <v>0</v>
      </c>
      <c r="C2484" t="n">
        <v>0</v>
      </c>
      <c r="D2484" t="n">
        <v>2682.670986889336</v>
      </c>
      <c r="E2484">
        <f>C2484&lt;0.05</f>
        <v/>
      </c>
      <c r="F2484">
        <f>A2484=$B$5</f>
        <v/>
      </c>
      <c r="G2484">
        <f>IF(E2484,A2484,10^9)</f>
        <v/>
      </c>
      <c r="H2484">
        <f>IF(E2484,D2484,10^9)</f>
        <v/>
      </c>
    </row>
    <row r="2485">
      <c r="A2485" t="n">
        <v>2477</v>
      </c>
      <c r="B2485" t="n">
        <v>0</v>
      </c>
      <c r="C2485" t="n">
        <v>0</v>
      </c>
      <c r="D2485" t="n">
        <v>2683.670986889336</v>
      </c>
      <c r="E2485">
        <f>C2485&lt;0.05</f>
        <v/>
      </c>
      <c r="F2485">
        <f>A2485=$B$5</f>
        <v/>
      </c>
      <c r="G2485">
        <f>IF(E2485,A2485,10^9)</f>
        <v/>
      </c>
      <c r="H2485">
        <f>IF(E2485,D2485,10^9)</f>
        <v/>
      </c>
    </row>
    <row r="2486">
      <c r="A2486" t="n">
        <v>2478</v>
      </c>
      <c r="B2486" t="n">
        <v>0</v>
      </c>
      <c r="C2486" t="n">
        <v>0</v>
      </c>
      <c r="D2486" t="n">
        <v>2684.670986889336</v>
      </c>
      <c r="E2486">
        <f>C2486&lt;0.05</f>
        <v/>
      </c>
      <c r="F2486">
        <f>A2486=$B$5</f>
        <v/>
      </c>
      <c r="G2486">
        <f>IF(E2486,A2486,10^9)</f>
        <v/>
      </c>
      <c r="H2486">
        <f>IF(E2486,D2486,10^9)</f>
        <v/>
      </c>
    </row>
    <row r="2487">
      <c r="A2487" t="n">
        <v>2479</v>
      </c>
      <c r="B2487" t="n">
        <v>0</v>
      </c>
      <c r="C2487" t="n">
        <v>0</v>
      </c>
      <c r="D2487" t="n">
        <v>2685.670986889336</v>
      </c>
      <c r="E2487">
        <f>C2487&lt;0.05</f>
        <v/>
      </c>
      <c r="F2487">
        <f>A2487=$B$5</f>
        <v/>
      </c>
      <c r="G2487">
        <f>IF(E2487,A2487,10^9)</f>
        <v/>
      </c>
      <c r="H2487">
        <f>IF(E2487,D2487,10^9)</f>
        <v/>
      </c>
    </row>
    <row r="2488">
      <c r="A2488" t="n">
        <v>2480</v>
      </c>
      <c r="B2488" t="n">
        <v>0</v>
      </c>
      <c r="C2488" t="n">
        <v>0</v>
      </c>
      <c r="D2488" t="n">
        <v>2686.670986889336</v>
      </c>
      <c r="E2488">
        <f>C2488&lt;0.05</f>
        <v/>
      </c>
      <c r="F2488">
        <f>A2488=$B$5</f>
        <v/>
      </c>
      <c r="G2488">
        <f>IF(E2488,A2488,10^9)</f>
        <v/>
      </c>
      <c r="H2488">
        <f>IF(E2488,D2488,10^9)</f>
        <v/>
      </c>
    </row>
    <row r="2489">
      <c r="A2489" t="n">
        <v>2481</v>
      </c>
      <c r="B2489" t="n">
        <v>0</v>
      </c>
      <c r="C2489" t="n">
        <v>0</v>
      </c>
      <c r="D2489" t="n">
        <v>2687.670986889336</v>
      </c>
      <c r="E2489">
        <f>C2489&lt;0.05</f>
        <v/>
      </c>
      <c r="F2489">
        <f>A2489=$B$5</f>
        <v/>
      </c>
      <c r="G2489">
        <f>IF(E2489,A2489,10^9)</f>
        <v/>
      </c>
      <c r="H2489">
        <f>IF(E2489,D2489,10^9)</f>
        <v/>
      </c>
    </row>
    <row r="2490">
      <c r="A2490" t="n">
        <v>2482</v>
      </c>
      <c r="B2490" t="n">
        <v>0</v>
      </c>
      <c r="C2490" t="n">
        <v>0</v>
      </c>
      <c r="D2490" t="n">
        <v>2688.670986889336</v>
      </c>
      <c r="E2490">
        <f>C2490&lt;0.05</f>
        <v/>
      </c>
      <c r="F2490">
        <f>A2490=$B$5</f>
        <v/>
      </c>
      <c r="G2490">
        <f>IF(E2490,A2490,10^9)</f>
        <v/>
      </c>
      <c r="H2490">
        <f>IF(E2490,D2490,10^9)</f>
        <v/>
      </c>
    </row>
    <row r="2491">
      <c r="A2491" t="n">
        <v>2483</v>
      </c>
      <c r="B2491" t="n">
        <v>0</v>
      </c>
      <c r="C2491" t="n">
        <v>0</v>
      </c>
      <c r="D2491" t="n">
        <v>2689.670986889336</v>
      </c>
      <c r="E2491">
        <f>C2491&lt;0.05</f>
        <v/>
      </c>
      <c r="F2491">
        <f>A2491=$B$5</f>
        <v/>
      </c>
      <c r="G2491">
        <f>IF(E2491,A2491,10^9)</f>
        <v/>
      </c>
      <c r="H2491">
        <f>IF(E2491,D2491,10^9)</f>
        <v/>
      </c>
    </row>
    <row r="2492">
      <c r="A2492" t="n">
        <v>2484</v>
      </c>
      <c r="B2492" t="n">
        <v>0</v>
      </c>
      <c r="C2492" t="n">
        <v>0</v>
      </c>
      <c r="D2492" t="n">
        <v>2690.670986889336</v>
      </c>
      <c r="E2492">
        <f>C2492&lt;0.05</f>
        <v/>
      </c>
      <c r="F2492">
        <f>A2492=$B$5</f>
        <v/>
      </c>
      <c r="G2492">
        <f>IF(E2492,A2492,10^9)</f>
        <v/>
      </c>
      <c r="H2492">
        <f>IF(E2492,D2492,10^9)</f>
        <v/>
      </c>
    </row>
    <row r="2493">
      <c r="A2493" t="n">
        <v>2485</v>
      </c>
      <c r="B2493" t="n">
        <v>0</v>
      </c>
      <c r="C2493" t="n">
        <v>0</v>
      </c>
      <c r="D2493" t="n">
        <v>2691.670986889336</v>
      </c>
      <c r="E2493">
        <f>C2493&lt;0.05</f>
        <v/>
      </c>
      <c r="F2493">
        <f>A2493=$B$5</f>
        <v/>
      </c>
      <c r="G2493">
        <f>IF(E2493,A2493,10^9)</f>
        <v/>
      </c>
      <c r="H2493">
        <f>IF(E2493,D2493,10^9)</f>
        <v/>
      </c>
    </row>
    <row r="2494">
      <c r="A2494" t="n">
        <v>2486</v>
      </c>
      <c r="B2494" t="n">
        <v>0</v>
      </c>
      <c r="C2494" t="n">
        <v>0</v>
      </c>
      <c r="D2494" t="n">
        <v>2692.670986889336</v>
      </c>
      <c r="E2494">
        <f>C2494&lt;0.05</f>
        <v/>
      </c>
      <c r="F2494">
        <f>A2494=$B$5</f>
        <v/>
      </c>
      <c r="G2494">
        <f>IF(E2494,A2494,10^9)</f>
        <v/>
      </c>
      <c r="H2494">
        <f>IF(E2494,D2494,10^9)</f>
        <v/>
      </c>
    </row>
    <row r="2495">
      <c r="A2495" t="n">
        <v>2487</v>
      </c>
      <c r="B2495" t="n">
        <v>0</v>
      </c>
      <c r="C2495" t="n">
        <v>0</v>
      </c>
      <c r="D2495" t="n">
        <v>2693.670986889336</v>
      </c>
      <c r="E2495">
        <f>C2495&lt;0.05</f>
        <v/>
      </c>
      <c r="F2495">
        <f>A2495=$B$5</f>
        <v/>
      </c>
      <c r="G2495">
        <f>IF(E2495,A2495,10^9)</f>
        <v/>
      </c>
      <c r="H2495">
        <f>IF(E2495,D2495,10^9)</f>
        <v/>
      </c>
    </row>
    <row r="2496">
      <c r="A2496" t="n">
        <v>2488</v>
      </c>
      <c r="B2496" t="n">
        <v>0</v>
      </c>
      <c r="C2496" t="n">
        <v>0</v>
      </c>
      <c r="D2496" t="n">
        <v>2694.670986889336</v>
      </c>
      <c r="E2496">
        <f>C2496&lt;0.05</f>
        <v/>
      </c>
      <c r="F2496">
        <f>A2496=$B$5</f>
        <v/>
      </c>
      <c r="G2496">
        <f>IF(E2496,A2496,10^9)</f>
        <v/>
      </c>
      <c r="H2496">
        <f>IF(E2496,D2496,10^9)</f>
        <v/>
      </c>
    </row>
    <row r="2497">
      <c r="A2497" t="n">
        <v>2489</v>
      </c>
      <c r="B2497" t="n">
        <v>0</v>
      </c>
      <c r="C2497" t="n">
        <v>0</v>
      </c>
      <c r="D2497" t="n">
        <v>2695.670986889336</v>
      </c>
      <c r="E2497">
        <f>C2497&lt;0.05</f>
        <v/>
      </c>
      <c r="F2497">
        <f>A2497=$B$5</f>
        <v/>
      </c>
      <c r="G2497">
        <f>IF(E2497,A2497,10^9)</f>
        <v/>
      </c>
      <c r="H2497">
        <f>IF(E2497,D2497,10^9)</f>
        <v/>
      </c>
    </row>
    <row r="2498">
      <c r="A2498" t="n">
        <v>2490</v>
      </c>
      <c r="B2498" t="n">
        <v>0</v>
      </c>
      <c r="C2498" t="n">
        <v>0</v>
      </c>
      <c r="D2498" t="n">
        <v>2696.670986889336</v>
      </c>
      <c r="E2498">
        <f>C2498&lt;0.05</f>
        <v/>
      </c>
      <c r="F2498">
        <f>A2498=$B$5</f>
        <v/>
      </c>
      <c r="G2498">
        <f>IF(E2498,A2498,10^9)</f>
        <v/>
      </c>
      <c r="H2498">
        <f>IF(E2498,D2498,10^9)</f>
        <v/>
      </c>
    </row>
    <row r="2499">
      <c r="A2499" t="n">
        <v>2491</v>
      </c>
      <c r="B2499" t="n">
        <v>0</v>
      </c>
      <c r="C2499" t="n">
        <v>0</v>
      </c>
      <c r="D2499" t="n">
        <v>2697.670986889336</v>
      </c>
      <c r="E2499">
        <f>C2499&lt;0.05</f>
        <v/>
      </c>
      <c r="F2499">
        <f>A2499=$B$5</f>
        <v/>
      </c>
      <c r="G2499">
        <f>IF(E2499,A2499,10^9)</f>
        <v/>
      </c>
      <c r="H2499">
        <f>IF(E2499,D2499,10^9)</f>
        <v/>
      </c>
    </row>
    <row r="2500">
      <c r="A2500" t="n">
        <v>2492</v>
      </c>
      <c r="B2500" t="n">
        <v>0</v>
      </c>
      <c r="C2500" t="n">
        <v>0</v>
      </c>
      <c r="D2500" t="n">
        <v>2698.670986889336</v>
      </c>
      <c r="E2500">
        <f>C2500&lt;0.05</f>
        <v/>
      </c>
      <c r="F2500">
        <f>A2500=$B$5</f>
        <v/>
      </c>
      <c r="G2500">
        <f>IF(E2500,A2500,10^9)</f>
        <v/>
      </c>
      <c r="H2500">
        <f>IF(E2500,D2500,10^9)</f>
        <v/>
      </c>
    </row>
    <row r="2501">
      <c r="A2501" t="n">
        <v>2493</v>
      </c>
      <c r="B2501" t="n">
        <v>0</v>
      </c>
      <c r="C2501" t="n">
        <v>0</v>
      </c>
      <c r="D2501" t="n">
        <v>2699.670986889336</v>
      </c>
      <c r="E2501">
        <f>C2501&lt;0.05</f>
        <v/>
      </c>
      <c r="F2501">
        <f>A2501=$B$5</f>
        <v/>
      </c>
      <c r="G2501">
        <f>IF(E2501,A2501,10^9)</f>
        <v/>
      </c>
      <c r="H2501">
        <f>IF(E2501,D2501,10^9)</f>
        <v/>
      </c>
    </row>
    <row r="2502">
      <c r="A2502" t="n">
        <v>2494</v>
      </c>
      <c r="B2502" t="n">
        <v>0</v>
      </c>
      <c r="C2502" t="n">
        <v>0</v>
      </c>
      <c r="D2502" t="n">
        <v>2700.670986889336</v>
      </c>
      <c r="E2502">
        <f>C2502&lt;0.05</f>
        <v/>
      </c>
      <c r="F2502">
        <f>A2502=$B$5</f>
        <v/>
      </c>
      <c r="G2502">
        <f>IF(E2502,A2502,10^9)</f>
        <v/>
      </c>
      <c r="H2502">
        <f>IF(E2502,D2502,10^9)</f>
        <v/>
      </c>
    </row>
    <row r="2503">
      <c r="A2503" t="n">
        <v>2495</v>
      </c>
      <c r="B2503" t="n">
        <v>0</v>
      </c>
      <c r="C2503" t="n">
        <v>0</v>
      </c>
      <c r="D2503" t="n">
        <v>2701.670986889336</v>
      </c>
      <c r="E2503">
        <f>C2503&lt;0.05</f>
        <v/>
      </c>
      <c r="F2503">
        <f>A2503=$B$5</f>
        <v/>
      </c>
      <c r="G2503">
        <f>IF(E2503,A2503,10^9)</f>
        <v/>
      </c>
      <c r="H2503">
        <f>IF(E2503,D2503,10^9)</f>
        <v/>
      </c>
    </row>
    <row r="2504">
      <c r="A2504" t="n">
        <v>2496</v>
      </c>
      <c r="B2504" t="n">
        <v>0</v>
      </c>
      <c r="C2504" t="n">
        <v>0</v>
      </c>
      <c r="D2504" t="n">
        <v>2702.670986889336</v>
      </c>
      <c r="E2504">
        <f>C2504&lt;0.05</f>
        <v/>
      </c>
      <c r="F2504">
        <f>A2504=$B$5</f>
        <v/>
      </c>
      <c r="G2504">
        <f>IF(E2504,A2504,10^9)</f>
        <v/>
      </c>
      <c r="H2504">
        <f>IF(E2504,D2504,10^9)</f>
        <v/>
      </c>
    </row>
    <row r="2505">
      <c r="A2505" t="n">
        <v>2497</v>
      </c>
      <c r="B2505" t="n">
        <v>0</v>
      </c>
      <c r="C2505" t="n">
        <v>0</v>
      </c>
      <c r="D2505" t="n">
        <v>2703.670986889336</v>
      </c>
      <c r="E2505">
        <f>C2505&lt;0.05</f>
        <v/>
      </c>
      <c r="F2505">
        <f>A2505=$B$5</f>
        <v/>
      </c>
      <c r="G2505">
        <f>IF(E2505,A2505,10^9)</f>
        <v/>
      </c>
      <c r="H2505">
        <f>IF(E2505,D2505,10^9)</f>
        <v/>
      </c>
    </row>
    <row r="2506">
      <c r="A2506" t="n">
        <v>2498</v>
      </c>
      <c r="B2506" t="n">
        <v>0</v>
      </c>
      <c r="C2506" t="n">
        <v>0</v>
      </c>
      <c r="D2506" t="n">
        <v>2704.670986889336</v>
      </c>
      <c r="E2506">
        <f>C2506&lt;0.05</f>
        <v/>
      </c>
      <c r="F2506">
        <f>A2506=$B$5</f>
        <v/>
      </c>
      <c r="G2506">
        <f>IF(E2506,A2506,10^9)</f>
        <v/>
      </c>
      <c r="H2506">
        <f>IF(E2506,D2506,10^9)</f>
        <v/>
      </c>
    </row>
    <row r="2507">
      <c r="A2507" t="n">
        <v>2499</v>
      </c>
      <c r="B2507" t="n">
        <v>0</v>
      </c>
      <c r="C2507" t="n">
        <v>0</v>
      </c>
      <c r="D2507" t="n">
        <v>2705.670986889336</v>
      </c>
      <c r="E2507">
        <f>C2507&lt;0.05</f>
        <v/>
      </c>
      <c r="F2507">
        <f>A2507=$B$5</f>
        <v/>
      </c>
      <c r="G2507">
        <f>IF(E2507,A2507,10^9)</f>
        <v/>
      </c>
      <c r="H2507">
        <f>IF(E2507,D2507,10^9)</f>
        <v/>
      </c>
    </row>
    <row r="2508">
      <c r="A2508" t="n">
        <v>2500</v>
      </c>
      <c r="B2508" t="n">
        <v>0</v>
      </c>
      <c r="C2508" t="n">
        <v>0</v>
      </c>
      <c r="D2508" t="n">
        <v>2706.670986889336</v>
      </c>
      <c r="E2508">
        <f>C2508&lt;0.05</f>
        <v/>
      </c>
      <c r="F2508">
        <f>A2508=$B$5</f>
        <v/>
      </c>
      <c r="G2508">
        <f>IF(E2508,A2508,10^9)</f>
        <v/>
      </c>
      <c r="H2508">
        <f>IF(E2508,D2508,10^9)</f>
        <v/>
      </c>
    </row>
    <row r="2509">
      <c r="A2509" t="n">
        <v>2501</v>
      </c>
      <c r="B2509" t="n">
        <v>0</v>
      </c>
      <c r="C2509" t="n">
        <v>0</v>
      </c>
      <c r="D2509" t="n">
        <v>2707.670986889336</v>
      </c>
      <c r="E2509">
        <f>C2509&lt;0.05</f>
        <v/>
      </c>
      <c r="F2509">
        <f>A2509=$B$5</f>
        <v/>
      </c>
      <c r="G2509">
        <f>IF(E2509,A2509,10^9)</f>
        <v/>
      </c>
      <c r="H2509">
        <f>IF(E2509,D2509,10^9)</f>
        <v/>
      </c>
    </row>
    <row r="2510">
      <c r="A2510" t="n">
        <v>2502</v>
      </c>
      <c r="B2510" t="n">
        <v>0</v>
      </c>
      <c r="C2510" t="n">
        <v>0</v>
      </c>
      <c r="D2510" t="n">
        <v>2708.670986889336</v>
      </c>
      <c r="E2510">
        <f>C2510&lt;0.05</f>
        <v/>
      </c>
      <c r="F2510">
        <f>A2510=$B$5</f>
        <v/>
      </c>
      <c r="G2510">
        <f>IF(E2510,A2510,10^9)</f>
        <v/>
      </c>
      <c r="H2510">
        <f>IF(E2510,D2510,10^9)</f>
        <v/>
      </c>
    </row>
    <row r="2511">
      <c r="A2511" t="n">
        <v>2503</v>
      </c>
      <c r="B2511" t="n">
        <v>0</v>
      </c>
      <c r="C2511" t="n">
        <v>0</v>
      </c>
      <c r="D2511" t="n">
        <v>2709.670986889336</v>
      </c>
      <c r="E2511">
        <f>C2511&lt;0.05</f>
        <v/>
      </c>
      <c r="F2511">
        <f>A2511=$B$5</f>
        <v/>
      </c>
      <c r="G2511">
        <f>IF(E2511,A2511,10^9)</f>
        <v/>
      </c>
      <c r="H2511">
        <f>IF(E2511,D2511,10^9)</f>
        <v/>
      </c>
    </row>
    <row r="2512">
      <c r="A2512" t="n">
        <v>2504</v>
      </c>
      <c r="B2512" t="n">
        <v>0</v>
      </c>
      <c r="C2512" t="n">
        <v>0</v>
      </c>
      <c r="D2512" t="n">
        <v>2710.670986889336</v>
      </c>
      <c r="E2512">
        <f>C2512&lt;0.05</f>
        <v/>
      </c>
      <c r="F2512">
        <f>A2512=$B$5</f>
        <v/>
      </c>
      <c r="G2512">
        <f>IF(E2512,A2512,10^9)</f>
        <v/>
      </c>
      <c r="H2512">
        <f>IF(E2512,D2512,10^9)</f>
        <v/>
      </c>
    </row>
    <row r="2513">
      <c r="A2513" t="n">
        <v>2505</v>
      </c>
      <c r="B2513" t="n">
        <v>0</v>
      </c>
      <c r="C2513" t="n">
        <v>0</v>
      </c>
      <c r="D2513" t="n">
        <v>2711.670986889336</v>
      </c>
      <c r="E2513">
        <f>C2513&lt;0.05</f>
        <v/>
      </c>
      <c r="F2513">
        <f>A2513=$B$5</f>
        <v/>
      </c>
      <c r="G2513">
        <f>IF(E2513,A2513,10^9)</f>
        <v/>
      </c>
      <c r="H2513">
        <f>IF(E2513,D2513,10^9)</f>
        <v/>
      </c>
    </row>
    <row r="2514">
      <c r="A2514" t="n">
        <v>2506</v>
      </c>
      <c r="B2514" t="n">
        <v>0</v>
      </c>
      <c r="C2514" t="n">
        <v>0</v>
      </c>
      <c r="D2514" t="n">
        <v>2712.670986889336</v>
      </c>
      <c r="E2514">
        <f>C2514&lt;0.05</f>
        <v/>
      </c>
      <c r="F2514">
        <f>A2514=$B$5</f>
        <v/>
      </c>
      <c r="G2514">
        <f>IF(E2514,A2514,10^9)</f>
        <v/>
      </c>
      <c r="H2514">
        <f>IF(E2514,D2514,10^9)</f>
        <v/>
      </c>
    </row>
    <row r="2515">
      <c r="A2515" t="n">
        <v>2507</v>
      </c>
      <c r="B2515" t="n">
        <v>0</v>
      </c>
      <c r="C2515" t="n">
        <v>0</v>
      </c>
      <c r="D2515" t="n">
        <v>2713.670986889336</v>
      </c>
      <c r="E2515">
        <f>C2515&lt;0.05</f>
        <v/>
      </c>
      <c r="F2515">
        <f>A2515=$B$5</f>
        <v/>
      </c>
      <c r="G2515">
        <f>IF(E2515,A2515,10^9)</f>
        <v/>
      </c>
      <c r="H2515">
        <f>IF(E2515,D2515,10^9)</f>
        <v/>
      </c>
    </row>
    <row r="2516">
      <c r="A2516" t="n">
        <v>2508</v>
      </c>
      <c r="B2516" t="n">
        <v>0</v>
      </c>
      <c r="C2516" t="n">
        <v>0</v>
      </c>
      <c r="D2516" t="n">
        <v>2714.670986889336</v>
      </c>
      <c r="E2516">
        <f>C2516&lt;0.05</f>
        <v/>
      </c>
      <c r="F2516">
        <f>A2516=$B$5</f>
        <v/>
      </c>
      <c r="G2516">
        <f>IF(E2516,A2516,10^9)</f>
        <v/>
      </c>
      <c r="H2516">
        <f>IF(E2516,D2516,10^9)</f>
        <v/>
      </c>
    </row>
    <row r="2517">
      <c r="A2517" t="n">
        <v>2509</v>
      </c>
      <c r="B2517" t="n">
        <v>0</v>
      </c>
      <c r="C2517" t="n">
        <v>0</v>
      </c>
      <c r="D2517" t="n">
        <v>2715.670986889336</v>
      </c>
      <c r="E2517">
        <f>C2517&lt;0.05</f>
        <v/>
      </c>
      <c r="F2517">
        <f>A2517=$B$5</f>
        <v/>
      </c>
      <c r="G2517">
        <f>IF(E2517,A2517,10^9)</f>
        <v/>
      </c>
      <c r="H2517">
        <f>IF(E2517,D2517,10^9)</f>
        <v/>
      </c>
    </row>
    <row r="2518">
      <c r="A2518" t="n">
        <v>2510</v>
      </c>
      <c r="B2518" t="n">
        <v>0</v>
      </c>
      <c r="C2518" t="n">
        <v>0</v>
      </c>
      <c r="D2518" t="n">
        <v>2716.670986889336</v>
      </c>
      <c r="E2518">
        <f>C2518&lt;0.05</f>
        <v/>
      </c>
      <c r="F2518">
        <f>A2518=$B$5</f>
        <v/>
      </c>
      <c r="G2518">
        <f>IF(E2518,A2518,10^9)</f>
        <v/>
      </c>
      <c r="H2518">
        <f>IF(E2518,D2518,10^9)</f>
        <v/>
      </c>
    </row>
    <row r="2519">
      <c r="A2519" t="n">
        <v>2511</v>
      </c>
      <c r="B2519" t="n">
        <v>0</v>
      </c>
      <c r="C2519" t="n">
        <v>0</v>
      </c>
      <c r="D2519" t="n">
        <v>2717.670986889336</v>
      </c>
      <c r="E2519">
        <f>C2519&lt;0.05</f>
        <v/>
      </c>
      <c r="F2519">
        <f>A2519=$B$5</f>
        <v/>
      </c>
      <c r="G2519">
        <f>IF(E2519,A2519,10^9)</f>
        <v/>
      </c>
      <c r="H2519">
        <f>IF(E2519,D2519,10^9)</f>
        <v/>
      </c>
    </row>
    <row r="2520">
      <c r="A2520" t="n">
        <v>2512</v>
      </c>
      <c r="B2520" t="n">
        <v>0</v>
      </c>
      <c r="C2520" t="n">
        <v>0</v>
      </c>
      <c r="D2520" t="n">
        <v>2718.670986889336</v>
      </c>
      <c r="E2520">
        <f>C2520&lt;0.05</f>
        <v/>
      </c>
      <c r="F2520">
        <f>A2520=$B$5</f>
        <v/>
      </c>
      <c r="G2520">
        <f>IF(E2520,A2520,10^9)</f>
        <v/>
      </c>
      <c r="H2520">
        <f>IF(E2520,D2520,10^9)</f>
        <v/>
      </c>
    </row>
    <row r="2521">
      <c r="A2521" t="n">
        <v>2513</v>
      </c>
      <c r="B2521" t="n">
        <v>0</v>
      </c>
      <c r="C2521" t="n">
        <v>0</v>
      </c>
      <c r="D2521" t="n">
        <v>2719.670986889336</v>
      </c>
      <c r="E2521">
        <f>C2521&lt;0.05</f>
        <v/>
      </c>
      <c r="F2521">
        <f>A2521=$B$5</f>
        <v/>
      </c>
      <c r="G2521">
        <f>IF(E2521,A2521,10^9)</f>
        <v/>
      </c>
      <c r="H2521">
        <f>IF(E2521,D2521,10^9)</f>
        <v/>
      </c>
    </row>
    <row r="2522">
      <c r="A2522" t="n">
        <v>2514</v>
      </c>
      <c r="B2522" t="n">
        <v>0</v>
      </c>
      <c r="C2522" t="n">
        <v>0</v>
      </c>
      <c r="D2522" t="n">
        <v>2720.670986889336</v>
      </c>
      <c r="E2522">
        <f>C2522&lt;0.05</f>
        <v/>
      </c>
      <c r="F2522">
        <f>A2522=$B$5</f>
        <v/>
      </c>
      <c r="G2522">
        <f>IF(E2522,A2522,10^9)</f>
        <v/>
      </c>
      <c r="H2522">
        <f>IF(E2522,D2522,10^9)</f>
        <v/>
      </c>
    </row>
    <row r="2523">
      <c r="A2523" t="n">
        <v>2515</v>
      </c>
      <c r="B2523" t="n">
        <v>0</v>
      </c>
      <c r="C2523" t="n">
        <v>0</v>
      </c>
      <c r="D2523" t="n">
        <v>2721.670986889336</v>
      </c>
      <c r="E2523">
        <f>C2523&lt;0.05</f>
        <v/>
      </c>
      <c r="F2523">
        <f>A2523=$B$5</f>
        <v/>
      </c>
      <c r="G2523">
        <f>IF(E2523,A2523,10^9)</f>
        <v/>
      </c>
      <c r="H2523">
        <f>IF(E2523,D2523,10^9)</f>
        <v/>
      </c>
    </row>
    <row r="2524">
      <c r="A2524" t="n">
        <v>2516</v>
      </c>
      <c r="B2524" t="n">
        <v>0</v>
      </c>
      <c r="C2524" t="n">
        <v>0</v>
      </c>
      <c r="D2524" t="n">
        <v>2722.670986889336</v>
      </c>
      <c r="E2524">
        <f>C2524&lt;0.05</f>
        <v/>
      </c>
      <c r="F2524">
        <f>A2524=$B$5</f>
        <v/>
      </c>
      <c r="G2524">
        <f>IF(E2524,A2524,10^9)</f>
        <v/>
      </c>
      <c r="H2524">
        <f>IF(E2524,D2524,10^9)</f>
        <v/>
      </c>
    </row>
    <row r="2525">
      <c r="A2525" t="n">
        <v>2517</v>
      </c>
      <c r="B2525" t="n">
        <v>0</v>
      </c>
      <c r="C2525" t="n">
        <v>0</v>
      </c>
      <c r="D2525" t="n">
        <v>2723.670986889336</v>
      </c>
      <c r="E2525">
        <f>C2525&lt;0.05</f>
        <v/>
      </c>
      <c r="F2525">
        <f>A2525=$B$5</f>
        <v/>
      </c>
      <c r="G2525">
        <f>IF(E2525,A2525,10^9)</f>
        <v/>
      </c>
      <c r="H2525">
        <f>IF(E2525,D2525,10^9)</f>
        <v/>
      </c>
    </row>
    <row r="2526">
      <c r="A2526" t="n">
        <v>2518</v>
      </c>
      <c r="B2526" t="n">
        <v>0</v>
      </c>
      <c r="C2526" t="n">
        <v>0</v>
      </c>
      <c r="D2526" t="n">
        <v>2724.670986889336</v>
      </c>
      <c r="E2526">
        <f>C2526&lt;0.05</f>
        <v/>
      </c>
      <c r="F2526">
        <f>A2526=$B$5</f>
        <v/>
      </c>
      <c r="G2526">
        <f>IF(E2526,A2526,10^9)</f>
        <v/>
      </c>
      <c r="H2526">
        <f>IF(E2526,D2526,10^9)</f>
        <v/>
      </c>
    </row>
    <row r="2527">
      <c r="A2527" t="n">
        <v>2519</v>
      </c>
      <c r="B2527" t="n">
        <v>0</v>
      </c>
      <c r="C2527" t="n">
        <v>0</v>
      </c>
      <c r="D2527" t="n">
        <v>2725.670986889336</v>
      </c>
      <c r="E2527">
        <f>C2527&lt;0.05</f>
        <v/>
      </c>
      <c r="F2527">
        <f>A2527=$B$5</f>
        <v/>
      </c>
      <c r="G2527">
        <f>IF(E2527,A2527,10^9)</f>
        <v/>
      </c>
      <c r="H2527">
        <f>IF(E2527,D2527,10^9)</f>
        <v/>
      </c>
    </row>
    <row r="2528">
      <c r="A2528" t="n">
        <v>2520</v>
      </c>
      <c r="B2528" t="n">
        <v>0</v>
      </c>
      <c r="C2528" t="n">
        <v>0</v>
      </c>
      <c r="D2528" t="n">
        <v>2726.670986889336</v>
      </c>
      <c r="E2528">
        <f>C2528&lt;0.05</f>
        <v/>
      </c>
      <c r="F2528">
        <f>A2528=$B$5</f>
        <v/>
      </c>
      <c r="G2528">
        <f>IF(E2528,A2528,10^9)</f>
        <v/>
      </c>
      <c r="H2528">
        <f>IF(E2528,D2528,10^9)</f>
        <v/>
      </c>
    </row>
    <row r="2529">
      <c r="A2529" t="n">
        <v>2521</v>
      </c>
      <c r="B2529" t="n">
        <v>0</v>
      </c>
      <c r="C2529" t="n">
        <v>0</v>
      </c>
      <c r="D2529" t="n">
        <v>2727.670986889336</v>
      </c>
      <c r="E2529">
        <f>C2529&lt;0.05</f>
        <v/>
      </c>
      <c r="F2529">
        <f>A2529=$B$5</f>
        <v/>
      </c>
      <c r="G2529">
        <f>IF(E2529,A2529,10^9)</f>
        <v/>
      </c>
      <c r="H2529">
        <f>IF(E2529,D2529,10^9)</f>
        <v/>
      </c>
    </row>
    <row r="2530">
      <c r="A2530" t="n">
        <v>2522</v>
      </c>
      <c r="B2530" t="n">
        <v>0</v>
      </c>
      <c r="C2530" t="n">
        <v>0</v>
      </c>
      <c r="D2530" t="n">
        <v>2728.670986889336</v>
      </c>
      <c r="E2530">
        <f>C2530&lt;0.05</f>
        <v/>
      </c>
      <c r="F2530">
        <f>A2530=$B$5</f>
        <v/>
      </c>
      <c r="G2530">
        <f>IF(E2530,A2530,10^9)</f>
        <v/>
      </c>
      <c r="H2530">
        <f>IF(E2530,D2530,10^9)</f>
        <v/>
      </c>
    </row>
    <row r="2531">
      <c r="A2531" t="n">
        <v>2523</v>
      </c>
      <c r="B2531" t="n">
        <v>0</v>
      </c>
      <c r="C2531" t="n">
        <v>0</v>
      </c>
      <c r="D2531" t="n">
        <v>2729.670986889336</v>
      </c>
      <c r="E2531">
        <f>C2531&lt;0.05</f>
        <v/>
      </c>
      <c r="F2531">
        <f>A2531=$B$5</f>
        <v/>
      </c>
      <c r="G2531">
        <f>IF(E2531,A2531,10^9)</f>
        <v/>
      </c>
      <c r="H2531">
        <f>IF(E2531,D2531,10^9)</f>
        <v/>
      </c>
    </row>
    <row r="2532">
      <c r="A2532" t="n">
        <v>2524</v>
      </c>
      <c r="B2532" t="n">
        <v>0</v>
      </c>
      <c r="C2532" t="n">
        <v>0</v>
      </c>
      <c r="D2532" t="n">
        <v>2730.670986889336</v>
      </c>
      <c r="E2532">
        <f>C2532&lt;0.05</f>
        <v/>
      </c>
      <c r="F2532">
        <f>A2532=$B$5</f>
        <v/>
      </c>
      <c r="G2532">
        <f>IF(E2532,A2532,10^9)</f>
        <v/>
      </c>
      <c r="H2532">
        <f>IF(E2532,D2532,10^9)</f>
        <v/>
      </c>
    </row>
    <row r="2533">
      <c r="A2533" t="n">
        <v>2525</v>
      </c>
      <c r="B2533" t="n">
        <v>0</v>
      </c>
      <c r="C2533" t="n">
        <v>0</v>
      </c>
      <c r="D2533" t="n">
        <v>2731.670986889336</v>
      </c>
      <c r="E2533">
        <f>C2533&lt;0.05</f>
        <v/>
      </c>
      <c r="F2533">
        <f>A2533=$B$5</f>
        <v/>
      </c>
      <c r="G2533">
        <f>IF(E2533,A2533,10^9)</f>
        <v/>
      </c>
      <c r="H2533">
        <f>IF(E2533,D2533,10^9)</f>
        <v/>
      </c>
    </row>
    <row r="2534">
      <c r="A2534" t="n">
        <v>2526</v>
      </c>
      <c r="B2534" t="n">
        <v>0</v>
      </c>
      <c r="C2534" t="n">
        <v>0</v>
      </c>
      <c r="D2534" t="n">
        <v>2732.670986889336</v>
      </c>
      <c r="E2534">
        <f>C2534&lt;0.05</f>
        <v/>
      </c>
      <c r="F2534">
        <f>A2534=$B$5</f>
        <v/>
      </c>
      <c r="G2534">
        <f>IF(E2534,A2534,10^9)</f>
        <v/>
      </c>
      <c r="H2534">
        <f>IF(E2534,D2534,10^9)</f>
        <v/>
      </c>
    </row>
    <row r="2535">
      <c r="A2535" t="n">
        <v>2527</v>
      </c>
      <c r="B2535" t="n">
        <v>0</v>
      </c>
      <c r="C2535" t="n">
        <v>0</v>
      </c>
      <c r="D2535" t="n">
        <v>2733.670986889336</v>
      </c>
      <c r="E2535">
        <f>C2535&lt;0.05</f>
        <v/>
      </c>
      <c r="F2535">
        <f>A2535=$B$5</f>
        <v/>
      </c>
      <c r="G2535">
        <f>IF(E2535,A2535,10^9)</f>
        <v/>
      </c>
      <c r="H2535">
        <f>IF(E2535,D2535,10^9)</f>
        <v/>
      </c>
    </row>
    <row r="2536">
      <c r="A2536" t="n">
        <v>2528</v>
      </c>
      <c r="B2536" t="n">
        <v>0</v>
      </c>
      <c r="C2536" t="n">
        <v>0</v>
      </c>
      <c r="D2536" t="n">
        <v>2734.670986889336</v>
      </c>
      <c r="E2536">
        <f>C2536&lt;0.05</f>
        <v/>
      </c>
      <c r="F2536">
        <f>A2536=$B$5</f>
        <v/>
      </c>
      <c r="G2536">
        <f>IF(E2536,A2536,10^9)</f>
        <v/>
      </c>
      <c r="H2536">
        <f>IF(E2536,D2536,10^9)</f>
        <v/>
      </c>
    </row>
    <row r="2537">
      <c r="A2537" t="n">
        <v>2529</v>
      </c>
      <c r="B2537" t="n">
        <v>0</v>
      </c>
      <c r="C2537" t="n">
        <v>0</v>
      </c>
      <c r="D2537" t="n">
        <v>2735.670986889336</v>
      </c>
      <c r="E2537">
        <f>C2537&lt;0.05</f>
        <v/>
      </c>
      <c r="F2537">
        <f>A2537=$B$5</f>
        <v/>
      </c>
      <c r="G2537">
        <f>IF(E2537,A2537,10^9)</f>
        <v/>
      </c>
      <c r="H2537">
        <f>IF(E2537,D2537,10^9)</f>
        <v/>
      </c>
    </row>
    <row r="2538">
      <c r="A2538" t="n">
        <v>2530</v>
      </c>
      <c r="B2538" t="n">
        <v>0</v>
      </c>
      <c r="C2538" t="n">
        <v>0</v>
      </c>
      <c r="D2538" t="n">
        <v>2736.670986889336</v>
      </c>
      <c r="E2538">
        <f>C2538&lt;0.05</f>
        <v/>
      </c>
      <c r="F2538">
        <f>A2538=$B$5</f>
        <v/>
      </c>
      <c r="G2538">
        <f>IF(E2538,A2538,10^9)</f>
        <v/>
      </c>
      <c r="H2538">
        <f>IF(E2538,D2538,10^9)</f>
        <v/>
      </c>
    </row>
    <row r="2539">
      <c r="A2539" t="n">
        <v>2531</v>
      </c>
      <c r="B2539" t="n">
        <v>0</v>
      </c>
      <c r="C2539" t="n">
        <v>0</v>
      </c>
      <c r="D2539" t="n">
        <v>2737.670986889336</v>
      </c>
      <c r="E2539">
        <f>C2539&lt;0.05</f>
        <v/>
      </c>
      <c r="F2539">
        <f>A2539=$B$5</f>
        <v/>
      </c>
      <c r="G2539">
        <f>IF(E2539,A2539,10^9)</f>
        <v/>
      </c>
      <c r="H2539">
        <f>IF(E2539,D2539,10^9)</f>
        <v/>
      </c>
    </row>
    <row r="2540">
      <c r="A2540" t="n">
        <v>2532</v>
      </c>
      <c r="B2540" t="n">
        <v>0</v>
      </c>
      <c r="C2540" t="n">
        <v>0</v>
      </c>
      <c r="D2540" t="n">
        <v>2738.670986889336</v>
      </c>
      <c r="E2540">
        <f>C2540&lt;0.05</f>
        <v/>
      </c>
      <c r="F2540">
        <f>A2540=$B$5</f>
        <v/>
      </c>
      <c r="G2540">
        <f>IF(E2540,A2540,10^9)</f>
        <v/>
      </c>
      <c r="H2540">
        <f>IF(E2540,D2540,10^9)</f>
        <v/>
      </c>
    </row>
    <row r="2541">
      <c r="A2541" t="n">
        <v>2533</v>
      </c>
      <c r="B2541" t="n">
        <v>0</v>
      </c>
      <c r="C2541" t="n">
        <v>0</v>
      </c>
      <c r="D2541" t="n">
        <v>2739.670986889336</v>
      </c>
      <c r="E2541">
        <f>C2541&lt;0.05</f>
        <v/>
      </c>
      <c r="F2541">
        <f>A2541=$B$5</f>
        <v/>
      </c>
      <c r="G2541">
        <f>IF(E2541,A2541,10^9)</f>
        <v/>
      </c>
      <c r="H2541">
        <f>IF(E2541,D2541,10^9)</f>
        <v/>
      </c>
    </row>
    <row r="2542">
      <c r="A2542" t="n">
        <v>2534</v>
      </c>
      <c r="B2542" t="n">
        <v>0</v>
      </c>
      <c r="C2542" t="n">
        <v>0</v>
      </c>
      <c r="D2542" t="n">
        <v>2740.670986889336</v>
      </c>
      <c r="E2542">
        <f>C2542&lt;0.05</f>
        <v/>
      </c>
      <c r="F2542">
        <f>A2542=$B$5</f>
        <v/>
      </c>
      <c r="G2542">
        <f>IF(E2542,A2542,10^9)</f>
        <v/>
      </c>
      <c r="H2542">
        <f>IF(E2542,D2542,10^9)</f>
        <v/>
      </c>
    </row>
    <row r="2543">
      <c r="A2543" t="n">
        <v>2535</v>
      </c>
      <c r="B2543" t="n">
        <v>0</v>
      </c>
      <c r="C2543" t="n">
        <v>0</v>
      </c>
      <c r="D2543" t="n">
        <v>2741.670986889336</v>
      </c>
      <c r="E2543">
        <f>C2543&lt;0.05</f>
        <v/>
      </c>
      <c r="F2543">
        <f>A2543=$B$5</f>
        <v/>
      </c>
      <c r="G2543">
        <f>IF(E2543,A2543,10^9)</f>
        <v/>
      </c>
      <c r="H2543">
        <f>IF(E2543,D2543,10^9)</f>
        <v/>
      </c>
    </row>
    <row r="2544">
      <c r="A2544" t="n">
        <v>2536</v>
      </c>
      <c r="B2544" t="n">
        <v>0</v>
      </c>
      <c r="C2544" t="n">
        <v>0</v>
      </c>
      <c r="D2544" t="n">
        <v>2742.670986889336</v>
      </c>
      <c r="E2544">
        <f>C2544&lt;0.05</f>
        <v/>
      </c>
      <c r="F2544">
        <f>A2544=$B$5</f>
        <v/>
      </c>
      <c r="G2544">
        <f>IF(E2544,A2544,10^9)</f>
        <v/>
      </c>
      <c r="H2544">
        <f>IF(E2544,D2544,10^9)</f>
        <v/>
      </c>
    </row>
    <row r="2545">
      <c r="A2545" t="n">
        <v>2537</v>
      </c>
      <c r="B2545" t="n">
        <v>0</v>
      </c>
      <c r="C2545" t="n">
        <v>0</v>
      </c>
      <c r="D2545" t="n">
        <v>2743.670986889336</v>
      </c>
      <c r="E2545">
        <f>C2545&lt;0.05</f>
        <v/>
      </c>
      <c r="F2545">
        <f>A2545=$B$5</f>
        <v/>
      </c>
      <c r="G2545">
        <f>IF(E2545,A2545,10^9)</f>
        <v/>
      </c>
      <c r="H2545">
        <f>IF(E2545,D2545,10^9)</f>
        <v/>
      </c>
    </row>
    <row r="2546">
      <c r="A2546" t="n">
        <v>2538</v>
      </c>
      <c r="B2546" t="n">
        <v>0</v>
      </c>
      <c r="C2546" t="n">
        <v>0</v>
      </c>
      <c r="D2546" t="n">
        <v>2744.670986889336</v>
      </c>
      <c r="E2546">
        <f>C2546&lt;0.05</f>
        <v/>
      </c>
      <c r="F2546">
        <f>A2546=$B$5</f>
        <v/>
      </c>
      <c r="G2546">
        <f>IF(E2546,A2546,10^9)</f>
        <v/>
      </c>
      <c r="H2546">
        <f>IF(E2546,D2546,10^9)</f>
        <v/>
      </c>
    </row>
    <row r="2547">
      <c r="A2547" t="n">
        <v>2539</v>
      </c>
      <c r="B2547" t="n">
        <v>0</v>
      </c>
      <c r="C2547" t="n">
        <v>0</v>
      </c>
      <c r="D2547" t="n">
        <v>2745.670986889336</v>
      </c>
      <c r="E2547">
        <f>C2547&lt;0.05</f>
        <v/>
      </c>
      <c r="F2547">
        <f>A2547=$B$5</f>
        <v/>
      </c>
      <c r="G2547">
        <f>IF(E2547,A2547,10^9)</f>
        <v/>
      </c>
      <c r="H2547">
        <f>IF(E2547,D2547,10^9)</f>
        <v/>
      </c>
    </row>
    <row r="2548">
      <c r="A2548" t="n">
        <v>2540</v>
      </c>
      <c r="B2548" t="n">
        <v>0</v>
      </c>
      <c r="C2548" t="n">
        <v>0</v>
      </c>
      <c r="D2548" t="n">
        <v>2746.670986889336</v>
      </c>
      <c r="E2548">
        <f>C2548&lt;0.05</f>
        <v/>
      </c>
      <c r="F2548">
        <f>A2548=$B$5</f>
        <v/>
      </c>
      <c r="G2548">
        <f>IF(E2548,A2548,10^9)</f>
        <v/>
      </c>
      <c r="H2548">
        <f>IF(E2548,D2548,10^9)</f>
        <v/>
      </c>
    </row>
    <row r="2549">
      <c r="A2549" t="n">
        <v>2541</v>
      </c>
      <c r="B2549" t="n">
        <v>0</v>
      </c>
      <c r="C2549" t="n">
        <v>0</v>
      </c>
      <c r="D2549" t="n">
        <v>2747.670986889336</v>
      </c>
      <c r="E2549">
        <f>C2549&lt;0.05</f>
        <v/>
      </c>
      <c r="F2549">
        <f>A2549=$B$5</f>
        <v/>
      </c>
      <c r="G2549">
        <f>IF(E2549,A2549,10^9)</f>
        <v/>
      </c>
      <c r="H2549">
        <f>IF(E2549,D2549,10^9)</f>
        <v/>
      </c>
    </row>
    <row r="2550">
      <c r="A2550" t="n">
        <v>2542</v>
      </c>
      <c r="B2550" t="n">
        <v>0</v>
      </c>
      <c r="C2550" t="n">
        <v>0</v>
      </c>
      <c r="D2550" t="n">
        <v>2748.670986889336</v>
      </c>
      <c r="E2550">
        <f>C2550&lt;0.05</f>
        <v/>
      </c>
      <c r="F2550">
        <f>A2550=$B$5</f>
        <v/>
      </c>
      <c r="G2550">
        <f>IF(E2550,A2550,10^9)</f>
        <v/>
      </c>
      <c r="H2550">
        <f>IF(E2550,D2550,10^9)</f>
        <v/>
      </c>
    </row>
    <row r="2551">
      <c r="A2551" t="n">
        <v>2543</v>
      </c>
      <c r="B2551" t="n">
        <v>0</v>
      </c>
      <c r="C2551" t="n">
        <v>0</v>
      </c>
      <c r="D2551" t="n">
        <v>2749.670986889336</v>
      </c>
      <c r="E2551">
        <f>C2551&lt;0.05</f>
        <v/>
      </c>
      <c r="F2551">
        <f>A2551=$B$5</f>
        <v/>
      </c>
      <c r="G2551">
        <f>IF(E2551,A2551,10^9)</f>
        <v/>
      </c>
      <c r="H2551">
        <f>IF(E2551,D2551,10^9)</f>
        <v/>
      </c>
    </row>
    <row r="2552">
      <c r="A2552" t="n">
        <v>2544</v>
      </c>
      <c r="B2552" t="n">
        <v>0</v>
      </c>
      <c r="C2552" t="n">
        <v>0</v>
      </c>
      <c r="D2552" t="n">
        <v>2750.670986889336</v>
      </c>
      <c r="E2552">
        <f>C2552&lt;0.05</f>
        <v/>
      </c>
      <c r="F2552">
        <f>A2552=$B$5</f>
        <v/>
      </c>
      <c r="G2552">
        <f>IF(E2552,A2552,10^9)</f>
        <v/>
      </c>
      <c r="H2552">
        <f>IF(E2552,D2552,10^9)</f>
        <v/>
      </c>
    </row>
    <row r="2553">
      <c r="A2553" t="n">
        <v>2545</v>
      </c>
      <c r="B2553" t="n">
        <v>0</v>
      </c>
      <c r="C2553" t="n">
        <v>0</v>
      </c>
      <c r="D2553" t="n">
        <v>2751.670986889336</v>
      </c>
      <c r="E2553">
        <f>C2553&lt;0.05</f>
        <v/>
      </c>
      <c r="F2553">
        <f>A2553=$B$5</f>
        <v/>
      </c>
      <c r="G2553">
        <f>IF(E2553,A2553,10^9)</f>
        <v/>
      </c>
      <c r="H2553">
        <f>IF(E2553,D2553,10^9)</f>
        <v/>
      </c>
    </row>
    <row r="2554">
      <c r="A2554" t="n">
        <v>2546</v>
      </c>
      <c r="B2554" t="n">
        <v>0</v>
      </c>
      <c r="C2554" t="n">
        <v>0</v>
      </c>
      <c r="D2554" t="n">
        <v>2752.670986889336</v>
      </c>
      <c r="E2554">
        <f>C2554&lt;0.05</f>
        <v/>
      </c>
      <c r="F2554">
        <f>A2554=$B$5</f>
        <v/>
      </c>
      <c r="G2554">
        <f>IF(E2554,A2554,10^9)</f>
        <v/>
      </c>
      <c r="H2554">
        <f>IF(E2554,D2554,10^9)</f>
        <v/>
      </c>
    </row>
    <row r="2555">
      <c r="A2555" t="n">
        <v>2547</v>
      </c>
      <c r="B2555" t="n">
        <v>0</v>
      </c>
      <c r="C2555" t="n">
        <v>0</v>
      </c>
      <c r="D2555" t="n">
        <v>2753.670986889336</v>
      </c>
      <c r="E2555">
        <f>C2555&lt;0.05</f>
        <v/>
      </c>
      <c r="F2555">
        <f>A2555=$B$5</f>
        <v/>
      </c>
      <c r="G2555">
        <f>IF(E2555,A2555,10^9)</f>
        <v/>
      </c>
      <c r="H2555">
        <f>IF(E2555,D2555,10^9)</f>
        <v/>
      </c>
    </row>
    <row r="2556">
      <c r="A2556" t="n">
        <v>2548</v>
      </c>
      <c r="B2556" t="n">
        <v>0</v>
      </c>
      <c r="C2556" t="n">
        <v>0</v>
      </c>
      <c r="D2556" t="n">
        <v>2754.670986889336</v>
      </c>
      <c r="E2556">
        <f>C2556&lt;0.05</f>
        <v/>
      </c>
      <c r="F2556">
        <f>A2556=$B$5</f>
        <v/>
      </c>
      <c r="G2556">
        <f>IF(E2556,A2556,10^9)</f>
        <v/>
      </c>
      <c r="H2556">
        <f>IF(E2556,D2556,10^9)</f>
        <v/>
      </c>
    </row>
    <row r="2557">
      <c r="A2557" t="n">
        <v>2549</v>
      </c>
      <c r="B2557" t="n">
        <v>0</v>
      </c>
      <c r="C2557" t="n">
        <v>0</v>
      </c>
      <c r="D2557" t="n">
        <v>2755.670986889336</v>
      </c>
      <c r="E2557">
        <f>C2557&lt;0.05</f>
        <v/>
      </c>
      <c r="F2557">
        <f>A2557=$B$5</f>
        <v/>
      </c>
      <c r="G2557">
        <f>IF(E2557,A2557,10^9)</f>
        <v/>
      </c>
      <c r="H2557">
        <f>IF(E2557,D2557,10^9)</f>
        <v/>
      </c>
    </row>
    <row r="2558">
      <c r="A2558" t="n">
        <v>2550</v>
      </c>
      <c r="B2558" t="n">
        <v>0</v>
      </c>
      <c r="C2558" t="n">
        <v>0</v>
      </c>
      <c r="D2558" t="n">
        <v>2756.670986889336</v>
      </c>
      <c r="E2558">
        <f>C2558&lt;0.05</f>
        <v/>
      </c>
      <c r="F2558">
        <f>A2558=$B$5</f>
        <v/>
      </c>
      <c r="G2558">
        <f>IF(E2558,A2558,10^9)</f>
        <v/>
      </c>
      <c r="H2558">
        <f>IF(E2558,D2558,10^9)</f>
        <v/>
      </c>
    </row>
    <row r="2559">
      <c r="A2559" t="n">
        <v>2551</v>
      </c>
      <c r="B2559" t="n">
        <v>0</v>
      </c>
      <c r="C2559" t="n">
        <v>0</v>
      </c>
      <c r="D2559" t="n">
        <v>2757.670986889336</v>
      </c>
      <c r="E2559">
        <f>C2559&lt;0.05</f>
        <v/>
      </c>
      <c r="F2559">
        <f>A2559=$B$5</f>
        <v/>
      </c>
      <c r="G2559">
        <f>IF(E2559,A2559,10^9)</f>
        <v/>
      </c>
      <c r="H2559">
        <f>IF(E2559,D2559,10^9)</f>
        <v/>
      </c>
    </row>
    <row r="2560">
      <c r="A2560" t="n">
        <v>2552</v>
      </c>
      <c r="B2560" t="n">
        <v>0</v>
      </c>
      <c r="C2560" t="n">
        <v>0</v>
      </c>
      <c r="D2560" t="n">
        <v>2758.670986889336</v>
      </c>
      <c r="E2560">
        <f>C2560&lt;0.05</f>
        <v/>
      </c>
      <c r="F2560">
        <f>A2560=$B$5</f>
        <v/>
      </c>
      <c r="G2560">
        <f>IF(E2560,A2560,10^9)</f>
        <v/>
      </c>
      <c r="H2560">
        <f>IF(E2560,D2560,10^9)</f>
        <v/>
      </c>
    </row>
    <row r="2561">
      <c r="A2561" t="n">
        <v>2553</v>
      </c>
      <c r="B2561" t="n">
        <v>0</v>
      </c>
      <c r="C2561" t="n">
        <v>0</v>
      </c>
      <c r="D2561" t="n">
        <v>2759.670986889336</v>
      </c>
      <c r="E2561">
        <f>C2561&lt;0.05</f>
        <v/>
      </c>
      <c r="F2561">
        <f>A2561=$B$5</f>
        <v/>
      </c>
      <c r="G2561">
        <f>IF(E2561,A2561,10^9)</f>
        <v/>
      </c>
      <c r="H2561">
        <f>IF(E2561,D2561,10^9)</f>
        <v/>
      </c>
    </row>
    <row r="2562">
      <c r="A2562" t="n">
        <v>2554</v>
      </c>
      <c r="B2562" t="n">
        <v>0</v>
      </c>
      <c r="C2562" t="n">
        <v>0</v>
      </c>
      <c r="D2562" t="n">
        <v>2760.670986889336</v>
      </c>
      <c r="E2562">
        <f>C2562&lt;0.05</f>
        <v/>
      </c>
      <c r="F2562">
        <f>A2562=$B$5</f>
        <v/>
      </c>
      <c r="G2562">
        <f>IF(E2562,A2562,10^9)</f>
        <v/>
      </c>
      <c r="H2562">
        <f>IF(E2562,D2562,10^9)</f>
        <v/>
      </c>
    </row>
    <row r="2563">
      <c r="A2563" t="n">
        <v>2555</v>
      </c>
      <c r="B2563" t="n">
        <v>0</v>
      </c>
      <c r="C2563" t="n">
        <v>0</v>
      </c>
      <c r="D2563" t="n">
        <v>2761.670986889336</v>
      </c>
      <c r="E2563">
        <f>C2563&lt;0.05</f>
        <v/>
      </c>
      <c r="F2563">
        <f>A2563=$B$5</f>
        <v/>
      </c>
      <c r="G2563">
        <f>IF(E2563,A2563,10^9)</f>
        <v/>
      </c>
      <c r="H2563">
        <f>IF(E2563,D2563,10^9)</f>
        <v/>
      </c>
    </row>
    <row r="2564">
      <c r="A2564" t="n">
        <v>2556</v>
      </c>
      <c r="B2564" t="n">
        <v>0</v>
      </c>
      <c r="C2564" t="n">
        <v>0</v>
      </c>
      <c r="D2564" t="n">
        <v>2762.670986889336</v>
      </c>
      <c r="E2564">
        <f>C2564&lt;0.05</f>
        <v/>
      </c>
      <c r="F2564">
        <f>A2564=$B$5</f>
        <v/>
      </c>
      <c r="G2564">
        <f>IF(E2564,A2564,10^9)</f>
        <v/>
      </c>
      <c r="H2564">
        <f>IF(E2564,D2564,10^9)</f>
        <v/>
      </c>
    </row>
    <row r="2565">
      <c r="A2565" t="n">
        <v>2557</v>
      </c>
      <c r="B2565" t="n">
        <v>0</v>
      </c>
      <c r="C2565" t="n">
        <v>0</v>
      </c>
      <c r="D2565" t="n">
        <v>2763.670986889336</v>
      </c>
      <c r="E2565">
        <f>C2565&lt;0.05</f>
        <v/>
      </c>
      <c r="F2565">
        <f>A2565=$B$5</f>
        <v/>
      </c>
      <c r="G2565">
        <f>IF(E2565,A2565,10^9)</f>
        <v/>
      </c>
      <c r="H2565">
        <f>IF(E2565,D2565,10^9)</f>
        <v/>
      </c>
    </row>
    <row r="2566">
      <c r="A2566" t="n">
        <v>2558</v>
      </c>
      <c r="B2566" t="n">
        <v>0</v>
      </c>
      <c r="C2566" t="n">
        <v>0</v>
      </c>
      <c r="D2566" t="n">
        <v>2764.670986889336</v>
      </c>
      <c r="E2566">
        <f>C2566&lt;0.05</f>
        <v/>
      </c>
      <c r="F2566">
        <f>A2566=$B$5</f>
        <v/>
      </c>
      <c r="G2566">
        <f>IF(E2566,A2566,10^9)</f>
        <v/>
      </c>
      <c r="H2566">
        <f>IF(E2566,D2566,10^9)</f>
        <v/>
      </c>
    </row>
    <row r="2567">
      <c r="A2567" t="n">
        <v>2559</v>
      </c>
      <c r="B2567" t="n">
        <v>0</v>
      </c>
      <c r="C2567" t="n">
        <v>0</v>
      </c>
      <c r="D2567" t="n">
        <v>2765.670986889336</v>
      </c>
      <c r="E2567">
        <f>C2567&lt;0.05</f>
        <v/>
      </c>
      <c r="F2567">
        <f>A2567=$B$5</f>
        <v/>
      </c>
      <c r="G2567">
        <f>IF(E2567,A2567,10^9)</f>
        <v/>
      </c>
      <c r="H2567">
        <f>IF(E2567,D2567,10^9)</f>
        <v/>
      </c>
    </row>
    <row r="2568">
      <c r="A2568" t="n">
        <v>2560</v>
      </c>
      <c r="B2568" t="n">
        <v>0</v>
      </c>
      <c r="C2568" t="n">
        <v>0</v>
      </c>
      <c r="D2568" t="n">
        <v>2766.670986889336</v>
      </c>
      <c r="E2568">
        <f>C2568&lt;0.05</f>
        <v/>
      </c>
      <c r="F2568">
        <f>A2568=$B$5</f>
        <v/>
      </c>
      <c r="G2568">
        <f>IF(E2568,A2568,10^9)</f>
        <v/>
      </c>
      <c r="H2568">
        <f>IF(E2568,D2568,10^9)</f>
        <v/>
      </c>
    </row>
    <row r="2569">
      <c r="A2569" t="n">
        <v>2561</v>
      </c>
      <c r="B2569" t="n">
        <v>0</v>
      </c>
      <c r="C2569" t="n">
        <v>0</v>
      </c>
      <c r="D2569" t="n">
        <v>2767.670986889336</v>
      </c>
      <c r="E2569">
        <f>C2569&lt;0.05</f>
        <v/>
      </c>
      <c r="F2569">
        <f>A2569=$B$5</f>
        <v/>
      </c>
      <c r="G2569">
        <f>IF(E2569,A2569,10^9)</f>
        <v/>
      </c>
      <c r="H2569">
        <f>IF(E2569,D2569,10^9)</f>
        <v/>
      </c>
    </row>
    <row r="2570">
      <c r="A2570" t="n">
        <v>2562</v>
      </c>
      <c r="B2570" t="n">
        <v>0</v>
      </c>
      <c r="C2570" t="n">
        <v>0</v>
      </c>
      <c r="D2570" t="n">
        <v>2768.670986889336</v>
      </c>
      <c r="E2570">
        <f>C2570&lt;0.05</f>
        <v/>
      </c>
      <c r="F2570">
        <f>A2570=$B$5</f>
        <v/>
      </c>
      <c r="G2570">
        <f>IF(E2570,A2570,10^9)</f>
        <v/>
      </c>
      <c r="H2570">
        <f>IF(E2570,D2570,10^9)</f>
        <v/>
      </c>
    </row>
    <row r="2571">
      <c r="A2571" t="n">
        <v>2563</v>
      </c>
      <c r="B2571" t="n">
        <v>0</v>
      </c>
      <c r="C2571" t="n">
        <v>0</v>
      </c>
      <c r="D2571" t="n">
        <v>2769.670986889336</v>
      </c>
      <c r="E2571">
        <f>C2571&lt;0.05</f>
        <v/>
      </c>
      <c r="F2571">
        <f>A2571=$B$5</f>
        <v/>
      </c>
      <c r="G2571">
        <f>IF(E2571,A2571,10^9)</f>
        <v/>
      </c>
      <c r="H2571">
        <f>IF(E2571,D2571,10^9)</f>
        <v/>
      </c>
    </row>
    <row r="2572">
      <c r="A2572" t="n">
        <v>2564</v>
      </c>
      <c r="B2572" t="n">
        <v>0</v>
      </c>
      <c r="C2572" t="n">
        <v>0</v>
      </c>
      <c r="D2572" t="n">
        <v>2770.670986889336</v>
      </c>
      <c r="E2572">
        <f>C2572&lt;0.05</f>
        <v/>
      </c>
      <c r="F2572">
        <f>A2572=$B$5</f>
        <v/>
      </c>
      <c r="G2572">
        <f>IF(E2572,A2572,10^9)</f>
        <v/>
      </c>
      <c r="H2572">
        <f>IF(E2572,D2572,10^9)</f>
        <v/>
      </c>
    </row>
    <row r="2573">
      <c r="A2573" t="n">
        <v>2565</v>
      </c>
      <c r="B2573" t="n">
        <v>0</v>
      </c>
      <c r="C2573" t="n">
        <v>0</v>
      </c>
      <c r="D2573" t="n">
        <v>2771.670986889336</v>
      </c>
      <c r="E2573">
        <f>C2573&lt;0.05</f>
        <v/>
      </c>
      <c r="F2573">
        <f>A2573=$B$5</f>
        <v/>
      </c>
      <c r="G2573">
        <f>IF(E2573,A2573,10^9)</f>
        <v/>
      </c>
      <c r="H2573">
        <f>IF(E2573,D2573,10^9)</f>
        <v/>
      </c>
    </row>
    <row r="2574">
      <c r="A2574" t="n">
        <v>2566</v>
      </c>
      <c r="B2574" t="n">
        <v>0</v>
      </c>
      <c r="C2574" t="n">
        <v>0</v>
      </c>
      <c r="D2574" t="n">
        <v>2772.670986889336</v>
      </c>
      <c r="E2574">
        <f>C2574&lt;0.05</f>
        <v/>
      </c>
      <c r="F2574">
        <f>A2574=$B$5</f>
        <v/>
      </c>
      <c r="G2574">
        <f>IF(E2574,A2574,10^9)</f>
        <v/>
      </c>
      <c r="H2574">
        <f>IF(E2574,D2574,10^9)</f>
        <v/>
      </c>
    </row>
    <row r="2575">
      <c r="A2575" t="n">
        <v>2567</v>
      </c>
      <c r="B2575" t="n">
        <v>0</v>
      </c>
      <c r="C2575" t="n">
        <v>0</v>
      </c>
      <c r="D2575" t="n">
        <v>2773.670986889336</v>
      </c>
      <c r="E2575">
        <f>C2575&lt;0.05</f>
        <v/>
      </c>
      <c r="F2575">
        <f>A2575=$B$5</f>
        <v/>
      </c>
      <c r="G2575">
        <f>IF(E2575,A2575,10^9)</f>
        <v/>
      </c>
      <c r="H2575">
        <f>IF(E2575,D2575,10^9)</f>
        <v/>
      </c>
    </row>
    <row r="2576">
      <c r="A2576" t="n">
        <v>2568</v>
      </c>
      <c r="B2576" t="n">
        <v>0</v>
      </c>
      <c r="C2576" t="n">
        <v>0</v>
      </c>
      <c r="D2576" t="n">
        <v>2774.670986889336</v>
      </c>
      <c r="E2576">
        <f>C2576&lt;0.05</f>
        <v/>
      </c>
      <c r="F2576">
        <f>A2576=$B$5</f>
        <v/>
      </c>
      <c r="G2576">
        <f>IF(E2576,A2576,10^9)</f>
        <v/>
      </c>
      <c r="H2576">
        <f>IF(E2576,D2576,10^9)</f>
        <v/>
      </c>
    </row>
    <row r="2577">
      <c r="A2577" t="n">
        <v>2569</v>
      </c>
      <c r="B2577" t="n">
        <v>0</v>
      </c>
      <c r="C2577" t="n">
        <v>0</v>
      </c>
      <c r="D2577" t="n">
        <v>2775.670986889336</v>
      </c>
      <c r="E2577">
        <f>C2577&lt;0.05</f>
        <v/>
      </c>
      <c r="F2577">
        <f>A2577=$B$5</f>
        <v/>
      </c>
      <c r="G2577">
        <f>IF(E2577,A2577,10^9)</f>
        <v/>
      </c>
      <c r="H2577">
        <f>IF(E2577,D2577,10^9)</f>
        <v/>
      </c>
    </row>
    <row r="2578">
      <c r="A2578" t="n">
        <v>2570</v>
      </c>
      <c r="B2578" t="n">
        <v>0</v>
      </c>
      <c r="C2578" t="n">
        <v>0</v>
      </c>
      <c r="D2578" t="n">
        <v>2776.670986889336</v>
      </c>
      <c r="E2578">
        <f>C2578&lt;0.05</f>
        <v/>
      </c>
      <c r="F2578">
        <f>A2578=$B$5</f>
        <v/>
      </c>
      <c r="G2578">
        <f>IF(E2578,A2578,10^9)</f>
        <v/>
      </c>
      <c r="H2578">
        <f>IF(E2578,D2578,10^9)</f>
        <v/>
      </c>
    </row>
    <row r="2579">
      <c r="A2579" t="n">
        <v>2571</v>
      </c>
      <c r="B2579" t="n">
        <v>0</v>
      </c>
      <c r="C2579" t="n">
        <v>0</v>
      </c>
      <c r="D2579" t="n">
        <v>2777.670986889336</v>
      </c>
      <c r="E2579">
        <f>C2579&lt;0.05</f>
        <v/>
      </c>
      <c r="F2579">
        <f>A2579=$B$5</f>
        <v/>
      </c>
      <c r="G2579">
        <f>IF(E2579,A2579,10^9)</f>
        <v/>
      </c>
      <c r="H2579">
        <f>IF(E2579,D2579,10^9)</f>
        <v/>
      </c>
    </row>
    <row r="2580">
      <c r="A2580" t="n">
        <v>2572</v>
      </c>
      <c r="B2580" t="n">
        <v>0</v>
      </c>
      <c r="C2580" t="n">
        <v>0</v>
      </c>
      <c r="D2580" t="n">
        <v>2778.670986889336</v>
      </c>
      <c r="E2580">
        <f>C2580&lt;0.05</f>
        <v/>
      </c>
      <c r="F2580">
        <f>A2580=$B$5</f>
        <v/>
      </c>
      <c r="G2580">
        <f>IF(E2580,A2580,10^9)</f>
        <v/>
      </c>
      <c r="H2580">
        <f>IF(E2580,D2580,10^9)</f>
        <v/>
      </c>
    </row>
    <row r="2581">
      <c r="A2581" t="n">
        <v>2573</v>
      </c>
      <c r="B2581" t="n">
        <v>0</v>
      </c>
      <c r="C2581" t="n">
        <v>0</v>
      </c>
      <c r="D2581" t="n">
        <v>2779.670986889336</v>
      </c>
      <c r="E2581">
        <f>C2581&lt;0.05</f>
        <v/>
      </c>
      <c r="F2581">
        <f>A2581=$B$5</f>
        <v/>
      </c>
      <c r="G2581">
        <f>IF(E2581,A2581,10^9)</f>
        <v/>
      </c>
      <c r="H2581">
        <f>IF(E2581,D2581,10^9)</f>
        <v/>
      </c>
    </row>
    <row r="2582">
      <c r="A2582" t="n">
        <v>2574</v>
      </c>
      <c r="B2582" t="n">
        <v>0</v>
      </c>
      <c r="C2582" t="n">
        <v>0</v>
      </c>
      <c r="D2582" t="n">
        <v>2780.670986889336</v>
      </c>
      <c r="E2582">
        <f>C2582&lt;0.05</f>
        <v/>
      </c>
      <c r="F2582">
        <f>A2582=$B$5</f>
        <v/>
      </c>
      <c r="G2582">
        <f>IF(E2582,A2582,10^9)</f>
        <v/>
      </c>
      <c r="H2582">
        <f>IF(E2582,D2582,10^9)</f>
        <v/>
      </c>
    </row>
    <row r="2583">
      <c r="A2583" t="n">
        <v>2575</v>
      </c>
      <c r="B2583" t="n">
        <v>0</v>
      </c>
      <c r="C2583" t="n">
        <v>0</v>
      </c>
      <c r="D2583" t="n">
        <v>2781.670986889336</v>
      </c>
      <c r="E2583">
        <f>C2583&lt;0.05</f>
        <v/>
      </c>
      <c r="F2583">
        <f>A2583=$B$5</f>
        <v/>
      </c>
      <c r="G2583">
        <f>IF(E2583,A2583,10^9)</f>
        <v/>
      </c>
      <c r="H2583">
        <f>IF(E2583,D2583,10^9)</f>
        <v/>
      </c>
    </row>
    <row r="2584">
      <c r="A2584" t="n">
        <v>2576</v>
      </c>
      <c r="B2584" t="n">
        <v>0</v>
      </c>
      <c r="C2584" t="n">
        <v>0</v>
      </c>
      <c r="D2584" t="n">
        <v>2782.670986889336</v>
      </c>
      <c r="E2584">
        <f>C2584&lt;0.05</f>
        <v/>
      </c>
      <c r="F2584">
        <f>A2584=$B$5</f>
        <v/>
      </c>
      <c r="G2584">
        <f>IF(E2584,A2584,10^9)</f>
        <v/>
      </c>
      <c r="H2584">
        <f>IF(E2584,D2584,10^9)</f>
        <v/>
      </c>
    </row>
    <row r="2585">
      <c r="A2585" t="n">
        <v>2577</v>
      </c>
      <c r="B2585" t="n">
        <v>0</v>
      </c>
      <c r="C2585" t="n">
        <v>0</v>
      </c>
      <c r="D2585" t="n">
        <v>2783.670986889336</v>
      </c>
      <c r="E2585">
        <f>C2585&lt;0.05</f>
        <v/>
      </c>
      <c r="F2585">
        <f>A2585=$B$5</f>
        <v/>
      </c>
      <c r="G2585">
        <f>IF(E2585,A2585,10^9)</f>
        <v/>
      </c>
      <c r="H2585">
        <f>IF(E2585,D2585,10^9)</f>
        <v/>
      </c>
    </row>
    <row r="2586">
      <c r="A2586" t="n">
        <v>2578</v>
      </c>
      <c r="B2586" t="n">
        <v>0</v>
      </c>
      <c r="C2586" t="n">
        <v>0</v>
      </c>
      <c r="D2586" t="n">
        <v>2784.670986889336</v>
      </c>
      <c r="E2586">
        <f>C2586&lt;0.05</f>
        <v/>
      </c>
      <c r="F2586">
        <f>A2586=$B$5</f>
        <v/>
      </c>
      <c r="G2586">
        <f>IF(E2586,A2586,10^9)</f>
        <v/>
      </c>
      <c r="H2586">
        <f>IF(E2586,D2586,10^9)</f>
        <v/>
      </c>
    </row>
    <row r="2587">
      <c r="A2587" t="n">
        <v>2579</v>
      </c>
      <c r="B2587" t="n">
        <v>0</v>
      </c>
      <c r="C2587" t="n">
        <v>0</v>
      </c>
      <c r="D2587" t="n">
        <v>2785.670986889336</v>
      </c>
      <c r="E2587">
        <f>C2587&lt;0.05</f>
        <v/>
      </c>
      <c r="F2587">
        <f>A2587=$B$5</f>
        <v/>
      </c>
      <c r="G2587">
        <f>IF(E2587,A2587,10^9)</f>
        <v/>
      </c>
      <c r="H2587">
        <f>IF(E2587,D2587,10^9)</f>
        <v/>
      </c>
    </row>
    <row r="2588">
      <c r="A2588" t="n">
        <v>2580</v>
      </c>
      <c r="B2588" t="n">
        <v>0</v>
      </c>
      <c r="C2588" t="n">
        <v>0</v>
      </c>
      <c r="D2588" t="n">
        <v>2786.670986889336</v>
      </c>
      <c r="E2588">
        <f>C2588&lt;0.05</f>
        <v/>
      </c>
      <c r="F2588">
        <f>A2588=$B$5</f>
        <v/>
      </c>
      <c r="G2588">
        <f>IF(E2588,A2588,10^9)</f>
        <v/>
      </c>
      <c r="H2588">
        <f>IF(E2588,D2588,10^9)</f>
        <v/>
      </c>
    </row>
    <row r="2589">
      <c r="A2589" t="n">
        <v>2581</v>
      </c>
      <c r="B2589" t="n">
        <v>0</v>
      </c>
      <c r="C2589" t="n">
        <v>0</v>
      </c>
      <c r="D2589" t="n">
        <v>2787.670986889336</v>
      </c>
      <c r="E2589">
        <f>C2589&lt;0.05</f>
        <v/>
      </c>
      <c r="F2589">
        <f>A2589=$B$5</f>
        <v/>
      </c>
      <c r="G2589">
        <f>IF(E2589,A2589,10^9)</f>
        <v/>
      </c>
      <c r="H2589">
        <f>IF(E2589,D2589,10^9)</f>
        <v/>
      </c>
    </row>
    <row r="2590">
      <c r="A2590" t="n">
        <v>2582</v>
      </c>
      <c r="B2590" t="n">
        <v>0</v>
      </c>
      <c r="C2590" t="n">
        <v>0</v>
      </c>
      <c r="D2590" t="n">
        <v>2788.670986889336</v>
      </c>
      <c r="E2590">
        <f>C2590&lt;0.05</f>
        <v/>
      </c>
      <c r="F2590">
        <f>A2590=$B$5</f>
        <v/>
      </c>
      <c r="G2590">
        <f>IF(E2590,A2590,10^9)</f>
        <v/>
      </c>
      <c r="H2590">
        <f>IF(E2590,D2590,10^9)</f>
        <v/>
      </c>
    </row>
    <row r="2591">
      <c r="A2591" t="n">
        <v>2583</v>
      </c>
      <c r="B2591" t="n">
        <v>0</v>
      </c>
      <c r="C2591" t="n">
        <v>0</v>
      </c>
      <c r="D2591" t="n">
        <v>2789.670986889336</v>
      </c>
      <c r="E2591">
        <f>C2591&lt;0.05</f>
        <v/>
      </c>
      <c r="F2591">
        <f>A2591=$B$5</f>
        <v/>
      </c>
      <c r="G2591">
        <f>IF(E2591,A2591,10^9)</f>
        <v/>
      </c>
      <c r="H2591">
        <f>IF(E2591,D2591,10^9)</f>
        <v/>
      </c>
    </row>
    <row r="2592">
      <c r="A2592" t="n">
        <v>2584</v>
      </c>
      <c r="B2592" t="n">
        <v>0</v>
      </c>
      <c r="C2592" t="n">
        <v>0</v>
      </c>
      <c r="D2592" t="n">
        <v>2790.670986889336</v>
      </c>
      <c r="E2592">
        <f>C2592&lt;0.05</f>
        <v/>
      </c>
      <c r="F2592">
        <f>A2592=$B$5</f>
        <v/>
      </c>
      <c r="G2592">
        <f>IF(E2592,A2592,10^9)</f>
        <v/>
      </c>
      <c r="H2592">
        <f>IF(E2592,D2592,10^9)</f>
        <v/>
      </c>
    </row>
    <row r="2593">
      <c r="A2593" t="n">
        <v>2585</v>
      </c>
      <c r="B2593" t="n">
        <v>0</v>
      </c>
      <c r="C2593" t="n">
        <v>0</v>
      </c>
      <c r="D2593" t="n">
        <v>2791.670986889336</v>
      </c>
      <c r="E2593">
        <f>C2593&lt;0.05</f>
        <v/>
      </c>
      <c r="F2593">
        <f>A2593=$B$5</f>
        <v/>
      </c>
      <c r="G2593">
        <f>IF(E2593,A2593,10^9)</f>
        <v/>
      </c>
      <c r="H2593">
        <f>IF(E2593,D2593,10^9)</f>
        <v/>
      </c>
    </row>
    <row r="2594">
      <c r="A2594" t="n">
        <v>2586</v>
      </c>
      <c r="B2594" t="n">
        <v>0</v>
      </c>
      <c r="C2594" t="n">
        <v>0</v>
      </c>
      <c r="D2594" t="n">
        <v>2792.670986889336</v>
      </c>
      <c r="E2594">
        <f>C2594&lt;0.05</f>
        <v/>
      </c>
      <c r="F2594">
        <f>A2594=$B$5</f>
        <v/>
      </c>
      <c r="G2594">
        <f>IF(E2594,A2594,10^9)</f>
        <v/>
      </c>
      <c r="H2594">
        <f>IF(E2594,D2594,10^9)</f>
        <v/>
      </c>
    </row>
    <row r="2595">
      <c r="A2595" t="n">
        <v>2587</v>
      </c>
      <c r="B2595" t="n">
        <v>0</v>
      </c>
      <c r="C2595" t="n">
        <v>0</v>
      </c>
      <c r="D2595" t="n">
        <v>2793.670986889336</v>
      </c>
      <c r="E2595">
        <f>C2595&lt;0.05</f>
        <v/>
      </c>
      <c r="F2595">
        <f>A2595=$B$5</f>
        <v/>
      </c>
      <c r="G2595">
        <f>IF(E2595,A2595,10^9)</f>
        <v/>
      </c>
      <c r="H2595">
        <f>IF(E2595,D2595,10^9)</f>
        <v/>
      </c>
    </row>
    <row r="2596">
      <c r="A2596" t="n">
        <v>2588</v>
      </c>
      <c r="B2596" t="n">
        <v>0</v>
      </c>
      <c r="C2596" t="n">
        <v>0</v>
      </c>
      <c r="D2596" t="n">
        <v>2794.670986889336</v>
      </c>
      <c r="E2596">
        <f>C2596&lt;0.05</f>
        <v/>
      </c>
      <c r="F2596">
        <f>A2596=$B$5</f>
        <v/>
      </c>
      <c r="G2596">
        <f>IF(E2596,A2596,10^9)</f>
        <v/>
      </c>
      <c r="H2596">
        <f>IF(E2596,D2596,10^9)</f>
        <v/>
      </c>
    </row>
    <row r="2597">
      <c r="A2597" t="n">
        <v>2589</v>
      </c>
      <c r="B2597" t="n">
        <v>0</v>
      </c>
      <c r="C2597" t="n">
        <v>0</v>
      </c>
      <c r="D2597" t="n">
        <v>2795.670986889336</v>
      </c>
      <c r="E2597">
        <f>C2597&lt;0.05</f>
        <v/>
      </c>
      <c r="F2597">
        <f>A2597=$B$5</f>
        <v/>
      </c>
      <c r="G2597">
        <f>IF(E2597,A2597,10^9)</f>
        <v/>
      </c>
      <c r="H2597">
        <f>IF(E2597,D2597,10^9)</f>
        <v/>
      </c>
    </row>
    <row r="2598">
      <c r="A2598" t="n">
        <v>2590</v>
      </c>
      <c r="B2598" t="n">
        <v>0</v>
      </c>
      <c r="C2598" t="n">
        <v>0</v>
      </c>
      <c r="D2598" t="n">
        <v>2796.670986889336</v>
      </c>
      <c r="E2598">
        <f>C2598&lt;0.05</f>
        <v/>
      </c>
      <c r="F2598">
        <f>A2598=$B$5</f>
        <v/>
      </c>
      <c r="G2598">
        <f>IF(E2598,A2598,10^9)</f>
        <v/>
      </c>
      <c r="H2598">
        <f>IF(E2598,D2598,10^9)</f>
        <v/>
      </c>
    </row>
    <row r="2599">
      <c r="A2599" t="n">
        <v>2591</v>
      </c>
      <c r="B2599" t="n">
        <v>0</v>
      </c>
      <c r="C2599" t="n">
        <v>0</v>
      </c>
      <c r="D2599" t="n">
        <v>2797.670986889336</v>
      </c>
      <c r="E2599">
        <f>C2599&lt;0.05</f>
        <v/>
      </c>
      <c r="F2599">
        <f>A2599=$B$5</f>
        <v/>
      </c>
      <c r="G2599">
        <f>IF(E2599,A2599,10^9)</f>
        <v/>
      </c>
      <c r="H2599">
        <f>IF(E2599,D2599,10^9)</f>
        <v/>
      </c>
    </row>
    <row r="2600">
      <c r="A2600" t="n">
        <v>2592</v>
      </c>
      <c r="B2600" t="n">
        <v>0</v>
      </c>
      <c r="C2600" t="n">
        <v>0</v>
      </c>
      <c r="D2600" t="n">
        <v>2798.670986889336</v>
      </c>
      <c r="E2600">
        <f>C2600&lt;0.05</f>
        <v/>
      </c>
      <c r="F2600">
        <f>A2600=$B$5</f>
        <v/>
      </c>
      <c r="G2600">
        <f>IF(E2600,A2600,10^9)</f>
        <v/>
      </c>
      <c r="H2600">
        <f>IF(E2600,D2600,10^9)</f>
        <v/>
      </c>
    </row>
    <row r="2601">
      <c r="A2601" t="n">
        <v>2593</v>
      </c>
      <c r="B2601" t="n">
        <v>0</v>
      </c>
      <c r="C2601" t="n">
        <v>0</v>
      </c>
      <c r="D2601" t="n">
        <v>2799.670986889336</v>
      </c>
      <c r="E2601">
        <f>C2601&lt;0.05</f>
        <v/>
      </c>
      <c r="F2601">
        <f>A2601=$B$5</f>
        <v/>
      </c>
      <c r="G2601">
        <f>IF(E2601,A2601,10^9)</f>
        <v/>
      </c>
      <c r="H2601">
        <f>IF(E2601,D2601,10^9)</f>
        <v/>
      </c>
    </row>
    <row r="2602">
      <c r="A2602" t="n">
        <v>2594</v>
      </c>
      <c r="B2602" t="n">
        <v>0</v>
      </c>
      <c r="C2602" t="n">
        <v>0</v>
      </c>
      <c r="D2602" t="n">
        <v>2800.670986889336</v>
      </c>
      <c r="E2602">
        <f>C2602&lt;0.05</f>
        <v/>
      </c>
      <c r="F2602">
        <f>A2602=$B$5</f>
        <v/>
      </c>
      <c r="G2602">
        <f>IF(E2602,A2602,10^9)</f>
        <v/>
      </c>
      <c r="H2602">
        <f>IF(E2602,D2602,10^9)</f>
        <v/>
      </c>
    </row>
    <row r="2603">
      <c r="A2603" t="n">
        <v>2595</v>
      </c>
      <c r="B2603" t="n">
        <v>0</v>
      </c>
      <c r="C2603" t="n">
        <v>0</v>
      </c>
      <c r="D2603" t="n">
        <v>2801.670986889336</v>
      </c>
      <c r="E2603">
        <f>C2603&lt;0.05</f>
        <v/>
      </c>
      <c r="F2603">
        <f>A2603=$B$5</f>
        <v/>
      </c>
      <c r="G2603">
        <f>IF(E2603,A2603,10^9)</f>
        <v/>
      </c>
      <c r="H2603">
        <f>IF(E2603,D2603,10^9)</f>
        <v/>
      </c>
    </row>
    <row r="2604">
      <c r="A2604" t="n">
        <v>2596</v>
      </c>
      <c r="B2604" t="n">
        <v>0</v>
      </c>
      <c r="C2604" t="n">
        <v>0</v>
      </c>
      <c r="D2604" t="n">
        <v>2802.670986889336</v>
      </c>
      <c r="E2604">
        <f>C2604&lt;0.05</f>
        <v/>
      </c>
      <c r="F2604">
        <f>A2604=$B$5</f>
        <v/>
      </c>
      <c r="G2604">
        <f>IF(E2604,A2604,10^9)</f>
        <v/>
      </c>
      <c r="H2604">
        <f>IF(E2604,D2604,10^9)</f>
        <v/>
      </c>
    </row>
    <row r="2605">
      <c r="A2605" t="n">
        <v>2597</v>
      </c>
      <c r="B2605" t="n">
        <v>0</v>
      </c>
      <c r="C2605" t="n">
        <v>0</v>
      </c>
      <c r="D2605" t="n">
        <v>2803.670986889336</v>
      </c>
      <c r="E2605">
        <f>C2605&lt;0.05</f>
        <v/>
      </c>
      <c r="F2605">
        <f>A2605=$B$5</f>
        <v/>
      </c>
      <c r="G2605">
        <f>IF(E2605,A2605,10^9)</f>
        <v/>
      </c>
      <c r="H2605">
        <f>IF(E2605,D2605,10^9)</f>
        <v/>
      </c>
    </row>
    <row r="2606">
      <c r="A2606" t="n">
        <v>2598</v>
      </c>
      <c r="B2606" t="n">
        <v>0</v>
      </c>
      <c r="C2606" t="n">
        <v>0</v>
      </c>
      <c r="D2606" t="n">
        <v>2804.670986889336</v>
      </c>
      <c r="E2606">
        <f>C2606&lt;0.05</f>
        <v/>
      </c>
      <c r="F2606">
        <f>A2606=$B$5</f>
        <v/>
      </c>
      <c r="G2606">
        <f>IF(E2606,A2606,10^9)</f>
        <v/>
      </c>
      <c r="H2606">
        <f>IF(E2606,D2606,10^9)</f>
        <v/>
      </c>
    </row>
    <row r="2607">
      <c r="A2607" t="n">
        <v>2599</v>
      </c>
      <c r="B2607" t="n">
        <v>0</v>
      </c>
      <c r="C2607" t="n">
        <v>0</v>
      </c>
      <c r="D2607" t="n">
        <v>2805.670986889336</v>
      </c>
      <c r="E2607">
        <f>C2607&lt;0.05</f>
        <v/>
      </c>
      <c r="F2607">
        <f>A2607=$B$5</f>
        <v/>
      </c>
      <c r="G2607">
        <f>IF(E2607,A2607,10^9)</f>
        <v/>
      </c>
      <c r="H2607">
        <f>IF(E2607,D2607,10^9)</f>
        <v/>
      </c>
    </row>
    <row r="2608">
      <c r="A2608" t="n">
        <v>2600</v>
      </c>
      <c r="B2608" t="n">
        <v>0</v>
      </c>
      <c r="C2608" t="n">
        <v>0</v>
      </c>
      <c r="D2608" t="n">
        <v>2806.670986889336</v>
      </c>
      <c r="E2608">
        <f>C2608&lt;0.05</f>
        <v/>
      </c>
      <c r="F2608">
        <f>A2608=$B$5</f>
        <v/>
      </c>
      <c r="G2608">
        <f>IF(E2608,A2608,10^9)</f>
        <v/>
      </c>
      <c r="H2608">
        <f>IF(E2608,D2608,10^9)</f>
        <v/>
      </c>
    </row>
    <row r="2609">
      <c r="A2609" t="n">
        <v>2601</v>
      </c>
      <c r="B2609" t="n">
        <v>0</v>
      </c>
      <c r="C2609" t="n">
        <v>0</v>
      </c>
      <c r="D2609" t="n">
        <v>2807.670986889336</v>
      </c>
      <c r="E2609">
        <f>C2609&lt;0.05</f>
        <v/>
      </c>
      <c r="F2609">
        <f>A2609=$B$5</f>
        <v/>
      </c>
      <c r="G2609">
        <f>IF(E2609,A2609,10^9)</f>
        <v/>
      </c>
      <c r="H2609">
        <f>IF(E2609,D2609,10^9)</f>
        <v/>
      </c>
    </row>
    <row r="2610">
      <c r="A2610" t="n">
        <v>2602</v>
      </c>
      <c r="B2610" t="n">
        <v>0</v>
      </c>
      <c r="C2610" t="n">
        <v>0</v>
      </c>
      <c r="D2610" t="n">
        <v>2808.670986889336</v>
      </c>
      <c r="E2610">
        <f>C2610&lt;0.05</f>
        <v/>
      </c>
      <c r="F2610">
        <f>A2610=$B$5</f>
        <v/>
      </c>
      <c r="G2610">
        <f>IF(E2610,A2610,10^9)</f>
        <v/>
      </c>
      <c r="H2610">
        <f>IF(E2610,D2610,10^9)</f>
        <v/>
      </c>
    </row>
    <row r="2611">
      <c r="A2611" t="n">
        <v>2603</v>
      </c>
      <c r="B2611" t="n">
        <v>0</v>
      </c>
      <c r="C2611" t="n">
        <v>0</v>
      </c>
      <c r="D2611" t="n">
        <v>2809.670986889336</v>
      </c>
      <c r="E2611">
        <f>C2611&lt;0.05</f>
        <v/>
      </c>
      <c r="F2611">
        <f>A2611=$B$5</f>
        <v/>
      </c>
      <c r="G2611">
        <f>IF(E2611,A2611,10^9)</f>
        <v/>
      </c>
      <c r="H2611">
        <f>IF(E2611,D2611,10^9)</f>
        <v/>
      </c>
    </row>
    <row r="2612">
      <c r="A2612" t="n">
        <v>2604</v>
      </c>
      <c r="B2612" t="n">
        <v>0</v>
      </c>
      <c r="C2612" t="n">
        <v>0</v>
      </c>
      <c r="D2612" t="n">
        <v>2810.670986889336</v>
      </c>
      <c r="E2612">
        <f>C2612&lt;0.05</f>
        <v/>
      </c>
      <c r="F2612">
        <f>A2612=$B$5</f>
        <v/>
      </c>
      <c r="G2612">
        <f>IF(E2612,A2612,10^9)</f>
        <v/>
      </c>
      <c r="H2612">
        <f>IF(E2612,D2612,10^9)</f>
        <v/>
      </c>
    </row>
    <row r="2613">
      <c r="A2613" t="n">
        <v>2605</v>
      </c>
      <c r="B2613" t="n">
        <v>0</v>
      </c>
      <c r="C2613" t="n">
        <v>0</v>
      </c>
      <c r="D2613" t="n">
        <v>2811.670986889336</v>
      </c>
      <c r="E2613">
        <f>C2613&lt;0.05</f>
        <v/>
      </c>
      <c r="F2613">
        <f>A2613=$B$5</f>
        <v/>
      </c>
      <c r="G2613">
        <f>IF(E2613,A2613,10^9)</f>
        <v/>
      </c>
      <c r="H2613">
        <f>IF(E2613,D2613,10^9)</f>
        <v/>
      </c>
    </row>
    <row r="2614">
      <c r="A2614" t="n">
        <v>2606</v>
      </c>
      <c r="B2614" t="n">
        <v>0</v>
      </c>
      <c r="C2614" t="n">
        <v>0</v>
      </c>
      <c r="D2614" t="n">
        <v>2812.670986889336</v>
      </c>
      <c r="E2614">
        <f>C2614&lt;0.05</f>
        <v/>
      </c>
      <c r="F2614">
        <f>A2614=$B$5</f>
        <v/>
      </c>
      <c r="G2614">
        <f>IF(E2614,A2614,10^9)</f>
        <v/>
      </c>
      <c r="H2614">
        <f>IF(E2614,D2614,10^9)</f>
        <v/>
      </c>
    </row>
    <row r="2615">
      <c r="A2615" t="n">
        <v>2607</v>
      </c>
      <c r="B2615" t="n">
        <v>0</v>
      </c>
      <c r="C2615" t="n">
        <v>0</v>
      </c>
      <c r="D2615" t="n">
        <v>2813.670986889336</v>
      </c>
      <c r="E2615">
        <f>C2615&lt;0.05</f>
        <v/>
      </c>
      <c r="F2615">
        <f>A2615=$B$5</f>
        <v/>
      </c>
      <c r="G2615">
        <f>IF(E2615,A2615,10^9)</f>
        <v/>
      </c>
      <c r="H2615">
        <f>IF(E2615,D2615,10^9)</f>
        <v/>
      </c>
    </row>
    <row r="2616">
      <c r="A2616" t="n">
        <v>2608</v>
      </c>
      <c r="B2616" t="n">
        <v>0</v>
      </c>
      <c r="C2616" t="n">
        <v>0</v>
      </c>
      <c r="D2616" t="n">
        <v>2814.670986889336</v>
      </c>
      <c r="E2616">
        <f>C2616&lt;0.05</f>
        <v/>
      </c>
      <c r="F2616">
        <f>A2616=$B$5</f>
        <v/>
      </c>
      <c r="G2616">
        <f>IF(E2616,A2616,10^9)</f>
        <v/>
      </c>
      <c r="H2616">
        <f>IF(E2616,D2616,10^9)</f>
        <v/>
      </c>
    </row>
    <row r="2617">
      <c r="A2617" t="n">
        <v>2609</v>
      </c>
      <c r="B2617" t="n">
        <v>0</v>
      </c>
      <c r="C2617" t="n">
        <v>0</v>
      </c>
      <c r="D2617" t="n">
        <v>2815.670986889336</v>
      </c>
      <c r="E2617">
        <f>C2617&lt;0.05</f>
        <v/>
      </c>
      <c r="F2617">
        <f>A2617=$B$5</f>
        <v/>
      </c>
      <c r="G2617">
        <f>IF(E2617,A2617,10^9)</f>
        <v/>
      </c>
      <c r="H2617">
        <f>IF(E2617,D2617,10^9)</f>
        <v/>
      </c>
    </row>
    <row r="2618">
      <c r="A2618" t="n">
        <v>2610</v>
      </c>
      <c r="B2618" t="n">
        <v>0</v>
      </c>
      <c r="C2618" t="n">
        <v>0</v>
      </c>
      <c r="D2618" t="n">
        <v>2816.670986889336</v>
      </c>
      <c r="E2618">
        <f>C2618&lt;0.05</f>
        <v/>
      </c>
      <c r="F2618">
        <f>A2618=$B$5</f>
        <v/>
      </c>
      <c r="G2618">
        <f>IF(E2618,A2618,10^9)</f>
        <v/>
      </c>
      <c r="H2618">
        <f>IF(E2618,D2618,10^9)</f>
        <v/>
      </c>
    </row>
    <row r="2619">
      <c r="A2619" t="n">
        <v>2611</v>
      </c>
      <c r="B2619" t="n">
        <v>0</v>
      </c>
      <c r="C2619" t="n">
        <v>0</v>
      </c>
      <c r="D2619" t="n">
        <v>2817.670986889336</v>
      </c>
      <c r="E2619">
        <f>C2619&lt;0.05</f>
        <v/>
      </c>
      <c r="F2619">
        <f>A2619=$B$5</f>
        <v/>
      </c>
      <c r="G2619">
        <f>IF(E2619,A2619,10^9)</f>
        <v/>
      </c>
      <c r="H2619">
        <f>IF(E2619,D2619,10^9)</f>
        <v/>
      </c>
    </row>
    <row r="2620">
      <c r="A2620" t="n">
        <v>2612</v>
      </c>
      <c r="B2620" t="n">
        <v>0</v>
      </c>
      <c r="C2620" t="n">
        <v>0</v>
      </c>
      <c r="D2620" t="n">
        <v>2818.670986889336</v>
      </c>
      <c r="E2620">
        <f>C2620&lt;0.05</f>
        <v/>
      </c>
      <c r="F2620">
        <f>A2620=$B$5</f>
        <v/>
      </c>
      <c r="G2620">
        <f>IF(E2620,A2620,10^9)</f>
        <v/>
      </c>
      <c r="H2620">
        <f>IF(E2620,D2620,10^9)</f>
        <v/>
      </c>
    </row>
    <row r="2621">
      <c r="A2621" t="n">
        <v>2613</v>
      </c>
      <c r="B2621" t="n">
        <v>0</v>
      </c>
      <c r="C2621" t="n">
        <v>0</v>
      </c>
      <c r="D2621" t="n">
        <v>2819.670986889336</v>
      </c>
      <c r="E2621">
        <f>C2621&lt;0.05</f>
        <v/>
      </c>
      <c r="F2621">
        <f>A2621=$B$5</f>
        <v/>
      </c>
      <c r="G2621">
        <f>IF(E2621,A2621,10^9)</f>
        <v/>
      </c>
      <c r="H2621">
        <f>IF(E2621,D2621,10^9)</f>
        <v/>
      </c>
    </row>
    <row r="2622">
      <c r="A2622" t="n">
        <v>2614</v>
      </c>
      <c r="B2622" t="n">
        <v>0</v>
      </c>
      <c r="C2622" t="n">
        <v>0</v>
      </c>
      <c r="D2622" t="n">
        <v>2820.670986889336</v>
      </c>
      <c r="E2622">
        <f>C2622&lt;0.05</f>
        <v/>
      </c>
      <c r="F2622">
        <f>A2622=$B$5</f>
        <v/>
      </c>
      <c r="G2622">
        <f>IF(E2622,A2622,10^9)</f>
        <v/>
      </c>
      <c r="H2622">
        <f>IF(E2622,D2622,10^9)</f>
        <v/>
      </c>
    </row>
    <row r="2623">
      <c r="A2623" t="n">
        <v>2615</v>
      </c>
      <c r="B2623" t="n">
        <v>0</v>
      </c>
      <c r="C2623" t="n">
        <v>0</v>
      </c>
      <c r="D2623" t="n">
        <v>2821.670986889336</v>
      </c>
      <c r="E2623">
        <f>C2623&lt;0.05</f>
        <v/>
      </c>
      <c r="F2623">
        <f>A2623=$B$5</f>
        <v/>
      </c>
      <c r="G2623">
        <f>IF(E2623,A2623,10^9)</f>
        <v/>
      </c>
      <c r="H2623">
        <f>IF(E2623,D2623,10^9)</f>
        <v/>
      </c>
    </row>
    <row r="2624">
      <c r="A2624" t="n">
        <v>2616</v>
      </c>
      <c r="B2624" t="n">
        <v>0</v>
      </c>
      <c r="C2624" t="n">
        <v>0</v>
      </c>
      <c r="D2624" t="n">
        <v>2822.670986889336</v>
      </c>
      <c r="E2624">
        <f>C2624&lt;0.05</f>
        <v/>
      </c>
      <c r="F2624">
        <f>A2624=$B$5</f>
        <v/>
      </c>
      <c r="G2624">
        <f>IF(E2624,A2624,10^9)</f>
        <v/>
      </c>
      <c r="H2624">
        <f>IF(E2624,D2624,10^9)</f>
        <v/>
      </c>
    </row>
    <row r="2625">
      <c r="A2625" t="n">
        <v>2617</v>
      </c>
      <c r="B2625" t="n">
        <v>0</v>
      </c>
      <c r="C2625" t="n">
        <v>0</v>
      </c>
      <c r="D2625" t="n">
        <v>2823.670986889336</v>
      </c>
      <c r="E2625">
        <f>C2625&lt;0.05</f>
        <v/>
      </c>
      <c r="F2625">
        <f>A2625=$B$5</f>
        <v/>
      </c>
      <c r="G2625">
        <f>IF(E2625,A2625,10^9)</f>
        <v/>
      </c>
      <c r="H2625">
        <f>IF(E2625,D2625,10^9)</f>
        <v/>
      </c>
    </row>
    <row r="2626">
      <c r="A2626" t="n">
        <v>2618</v>
      </c>
      <c r="B2626" t="n">
        <v>0</v>
      </c>
      <c r="C2626" t="n">
        <v>0</v>
      </c>
      <c r="D2626" t="n">
        <v>2824.670986889336</v>
      </c>
      <c r="E2626">
        <f>C2626&lt;0.05</f>
        <v/>
      </c>
      <c r="F2626">
        <f>A2626=$B$5</f>
        <v/>
      </c>
      <c r="G2626">
        <f>IF(E2626,A2626,10^9)</f>
        <v/>
      </c>
      <c r="H2626">
        <f>IF(E2626,D2626,10^9)</f>
        <v/>
      </c>
    </row>
    <row r="2627">
      <c r="A2627" t="n">
        <v>2619</v>
      </c>
      <c r="B2627" t="n">
        <v>0</v>
      </c>
      <c r="C2627" t="n">
        <v>0</v>
      </c>
      <c r="D2627" t="n">
        <v>2825.670986889336</v>
      </c>
      <c r="E2627">
        <f>C2627&lt;0.05</f>
        <v/>
      </c>
      <c r="F2627">
        <f>A2627=$B$5</f>
        <v/>
      </c>
      <c r="G2627">
        <f>IF(E2627,A2627,10^9)</f>
        <v/>
      </c>
      <c r="H2627">
        <f>IF(E2627,D2627,10^9)</f>
        <v/>
      </c>
    </row>
    <row r="2628">
      <c r="A2628" t="n">
        <v>2620</v>
      </c>
      <c r="B2628" t="n">
        <v>0</v>
      </c>
      <c r="C2628" t="n">
        <v>0</v>
      </c>
      <c r="D2628" t="n">
        <v>2826.670986889336</v>
      </c>
      <c r="E2628">
        <f>C2628&lt;0.05</f>
        <v/>
      </c>
      <c r="F2628">
        <f>A2628=$B$5</f>
        <v/>
      </c>
      <c r="G2628">
        <f>IF(E2628,A2628,10^9)</f>
        <v/>
      </c>
      <c r="H2628">
        <f>IF(E2628,D2628,10^9)</f>
        <v/>
      </c>
    </row>
    <row r="2629">
      <c r="A2629" t="n">
        <v>2621</v>
      </c>
      <c r="B2629" t="n">
        <v>0</v>
      </c>
      <c r="C2629" t="n">
        <v>0</v>
      </c>
      <c r="D2629" t="n">
        <v>2827.670986889336</v>
      </c>
      <c r="E2629">
        <f>C2629&lt;0.05</f>
        <v/>
      </c>
      <c r="F2629">
        <f>A2629=$B$5</f>
        <v/>
      </c>
      <c r="G2629">
        <f>IF(E2629,A2629,10^9)</f>
        <v/>
      </c>
      <c r="H2629">
        <f>IF(E2629,D2629,10^9)</f>
        <v/>
      </c>
    </row>
    <row r="2630">
      <c r="A2630" t="n">
        <v>2622</v>
      </c>
      <c r="B2630" t="n">
        <v>0</v>
      </c>
      <c r="C2630" t="n">
        <v>0</v>
      </c>
      <c r="D2630" t="n">
        <v>2828.670986889336</v>
      </c>
      <c r="E2630">
        <f>C2630&lt;0.05</f>
        <v/>
      </c>
      <c r="F2630">
        <f>A2630=$B$5</f>
        <v/>
      </c>
      <c r="G2630">
        <f>IF(E2630,A2630,10^9)</f>
        <v/>
      </c>
      <c r="H2630">
        <f>IF(E2630,D2630,10^9)</f>
        <v/>
      </c>
    </row>
    <row r="2631">
      <c r="A2631" t="n">
        <v>2623</v>
      </c>
      <c r="B2631" t="n">
        <v>0</v>
      </c>
      <c r="C2631" t="n">
        <v>0</v>
      </c>
      <c r="D2631" t="n">
        <v>2829.670986889336</v>
      </c>
      <c r="E2631">
        <f>C2631&lt;0.05</f>
        <v/>
      </c>
      <c r="F2631">
        <f>A2631=$B$5</f>
        <v/>
      </c>
      <c r="G2631">
        <f>IF(E2631,A2631,10^9)</f>
        <v/>
      </c>
      <c r="H2631">
        <f>IF(E2631,D2631,10^9)</f>
        <v/>
      </c>
    </row>
    <row r="2632">
      <c r="A2632" t="n">
        <v>2624</v>
      </c>
      <c r="B2632" t="n">
        <v>0</v>
      </c>
      <c r="C2632" t="n">
        <v>0</v>
      </c>
      <c r="D2632" t="n">
        <v>2830.670986889336</v>
      </c>
      <c r="E2632">
        <f>C2632&lt;0.05</f>
        <v/>
      </c>
      <c r="F2632">
        <f>A2632=$B$5</f>
        <v/>
      </c>
      <c r="G2632">
        <f>IF(E2632,A2632,10^9)</f>
        <v/>
      </c>
      <c r="H2632">
        <f>IF(E2632,D2632,10^9)</f>
        <v/>
      </c>
    </row>
    <row r="2633">
      <c r="A2633" t="n">
        <v>2625</v>
      </c>
      <c r="B2633" t="n">
        <v>0</v>
      </c>
      <c r="C2633" t="n">
        <v>0</v>
      </c>
      <c r="D2633" t="n">
        <v>2831.670986889336</v>
      </c>
      <c r="E2633">
        <f>C2633&lt;0.05</f>
        <v/>
      </c>
      <c r="F2633">
        <f>A2633=$B$5</f>
        <v/>
      </c>
      <c r="G2633">
        <f>IF(E2633,A2633,10^9)</f>
        <v/>
      </c>
      <c r="H2633">
        <f>IF(E2633,D2633,10^9)</f>
        <v/>
      </c>
    </row>
    <row r="2634">
      <c r="A2634" t="n">
        <v>2626</v>
      </c>
      <c r="B2634" t="n">
        <v>0</v>
      </c>
      <c r="C2634" t="n">
        <v>0</v>
      </c>
      <c r="D2634" t="n">
        <v>2832.670986889336</v>
      </c>
      <c r="E2634">
        <f>C2634&lt;0.05</f>
        <v/>
      </c>
      <c r="F2634">
        <f>A2634=$B$5</f>
        <v/>
      </c>
      <c r="G2634">
        <f>IF(E2634,A2634,10^9)</f>
        <v/>
      </c>
      <c r="H2634">
        <f>IF(E2634,D2634,10^9)</f>
        <v/>
      </c>
    </row>
    <row r="2635">
      <c r="A2635" t="n">
        <v>2627</v>
      </c>
      <c r="B2635" t="n">
        <v>0</v>
      </c>
      <c r="C2635" t="n">
        <v>0</v>
      </c>
      <c r="D2635" t="n">
        <v>2833.670986889336</v>
      </c>
      <c r="E2635">
        <f>C2635&lt;0.05</f>
        <v/>
      </c>
      <c r="F2635">
        <f>A2635=$B$5</f>
        <v/>
      </c>
      <c r="G2635">
        <f>IF(E2635,A2635,10^9)</f>
        <v/>
      </c>
      <c r="H2635">
        <f>IF(E2635,D2635,10^9)</f>
        <v/>
      </c>
    </row>
    <row r="2636">
      <c r="A2636" t="n">
        <v>2628</v>
      </c>
      <c r="B2636" t="n">
        <v>0</v>
      </c>
      <c r="C2636" t="n">
        <v>0</v>
      </c>
      <c r="D2636" t="n">
        <v>2834.670986889336</v>
      </c>
      <c r="E2636">
        <f>C2636&lt;0.05</f>
        <v/>
      </c>
      <c r="F2636">
        <f>A2636=$B$5</f>
        <v/>
      </c>
      <c r="G2636">
        <f>IF(E2636,A2636,10^9)</f>
        <v/>
      </c>
      <c r="H2636">
        <f>IF(E2636,D2636,10^9)</f>
        <v/>
      </c>
    </row>
    <row r="2637">
      <c r="A2637" t="n">
        <v>2629</v>
      </c>
      <c r="B2637" t="n">
        <v>0</v>
      </c>
      <c r="C2637" t="n">
        <v>0</v>
      </c>
      <c r="D2637" t="n">
        <v>2835.670986889336</v>
      </c>
      <c r="E2637">
        <f>C2637&lt;0.05</f>
        <v/>
      </c>
      <c r="F2637">
        <f>A2637=$B$5</f>
        <v/>
      </c>
      <c r="G2637">
        <f>IF(E2637,A2637,10^9)</f>
        <v/>
      </c>
      <c r="H2637">
        <f>IF(E2637,D2637,10^9)</f>
        <v/>
      </c>
    </row>
    <row r="2638">
      <c r="A2638" t="n">
        <v>2630</v>
      </c>
      <c r="B2638" t="n">
        <v>0</v>
      </c>
      <c r="C2638" t="n">
        <v>0</v>
      </c>
      <c r="D2638" t="n">
        <v>2836.670986889336</v>
      </c>
      <c r="E2638">
        <f>C2638&lt;0.05</f>
        <v/>
      </c>
      <c r="F2638">
        <f>A2638=$B$5</f>
        <v/>
      </c>
      <c r="G2638">
        <f>IF(E2638,A2638,10^9)</f>
        <v/>
      </c>
      <c r="H2638">
        <f>IF(E2638,D2638,10^9)</f>
        <v/>
      </c>
    </row>
    <row r="2639">
      <c r="A2639" t="n">
        <v>2631</v>
      </c>
      <c r="B2639" t="n">
        <v>0</v>
      </c>
      <c r="C2639" t="n">
        <v>0</v>
      </c>
      <c r="D2639" t="n">
        <v>2837.670986889336</v>
      </c>
      <c r="E2639">
        <f>C2639&lt;0.05</f>
        <v/>
      </c>
      <c r="F2639">
        <f>A2639=$B$5</f>
        <v/>
      </c>
      <c r="G2639">
        <f>IF(E2639,A2639,10^9)</f>
        <v/>
      </c>
      <c r="H2639">
        <f>IF(E2639,D2639,10^9)</f>
        <v/>
      </c>
    </row>
    <row r="2640">
      <c r="A2640" t="n">
        <v>2632</v>
      </c>
      <c r="B2640" t="n">
        <v>0</v>
      </c>
      <c r="C2640" t="n">
        <v>0</v>
      </c>
      <c r="D2640" t="n">
        <v>2838.670986889336</v>
      </c>
      <c r="E2640">
        <f>C2640&lt;0.05</f>
        <v/>
      </c>
      <c r="F2640">
        <f>A2640=$B$5</f>
        <v/>
      </c>
      <c r="G2640">
        <f>IF(E2640,A2640,10^9)</f>
        <v/>
      </c>
      <c r="H2640">
        <f>IF(E2640,D2640,10^9)</f>
        <v/>
      </c>
    </row>
    <row r="2641">
      <c r="A2641" t="n">
        <v>2633</v>
      </c>
      <c r="B2641" t="n">
        <v>0</v>
      </c>
      <c r="C2641" t="n">
        <v>0</v>
      </c>
      <c r="D2641" t="n">
        <v>2839.670986889336</v>
      </c>
      <c r="E2641">
        <f>C2641&lt;0.05</f>
        <v/>
      </c>
      <c r="F2641">
        <f>A2641=$B$5</f>
        <v/>
      </c>
      <c r="G2641">
        <f>IF(E2641,A2641,10^9)</f>
        <v/>
      </c>
      <c r="H2641">
        <f>IF(E2641,D2641,10^9)</f>
        <v/>
      </c>
    </row>
    <row r="2642">
      <c r="A2642" t="n">
        <v>2634</v>
      </c>
      <c r="B2642" t="n">
        <v>0</v>
      </c>
      <c r="C2642" t="n">
        <v>0</v>
      </c>
      <c r="D2642" t="n">
        <v>2840.670986889336</v>
      </c>
      <c r="E2642">
        <f>C2642&lt;0.05</f>
        <v/>
      </c>
      <c r="F2642">
        <f>A2642=$B$5</f>
        <v/>
      </c>
      <c r="G2642">
        <f>IF(E2642,A2642,10^9)</f>
        <v/>
      </c>
      <c r="H2642">
        <f>IF(E2642,D2642,10^9)</f>
        <v/>
      </c>
    </row>
    <row r="2643">
      <c r="A2643" t="n">
        <v>2635</v>
      </c>
      <c r="B2643" t="n">
        <v>0</v>
      </c>
      <c r="C2643" t="n">
        <v>0</v>
      </c>
      <c r="D2643" t="n">
        <v>2841.670986889336</v>
      </c>
      <c r="E2643">
        <f>C2643&lt;0.05</f>
        <v/>
      </c>
      <c r="F2643">
        <f>A2643=$B$5</f>
        <v/>
      </c>
      <c r="G2643">
        <f>IF(E2643,A2643,10^9)</f>
        <v/>
      </c>
      <c r="H2643">
        <f>IF(E2643,D2643,10^9)</f>
        <v/>
      </c>
    </row>
    <row r="2644">
      <c r="A2644" t="n">
        <v>2636</v>
      </c>
      <c r="B2644" t="n">
        <v>0</v>
      </c>
      <c r="C2644" t="n">
        <v>0</v>
      </c>
      <c r="D2644" t="n">
        <v>2842.670986889336</v>
      </c>
      <c r="E2644">
        <f>C2644&lt;0.05</f>
        <v/>
      </c>
      <c r="F2644">
        <f>A2644=$B$5</f>
        <v/>
      </c>
      <c r="G2644">
        <f>IF(E2644,A2644,10^9)</f>
        <v/>
      </c>
      <c r="H2644">
        <f>IF(E2644,D2644,10^9)</f>
        <v/>
      </c>
    </row>
    <row r="2645">
      <c r="A2645" t="n">
        <v>2637</v>
      </c>
      <c r="B2645" t="n">
        <v>0</v>
      </c>
      <c r="C2645" t="n">
        <v>0</v>
      </c>
      <c r="D2645" t="n">
        <v>2843.670986889336</v>
      </c>
      <c r="E2645">
        <f>C2645&lt;0.05</f>
        <v/>
      </c>
      <c r="F2645">
        <f>A2645=$B$5</f>
        <v/>
      </c>
      <c r="G2645">
        <f>IF(E2645,A2645,10^9)</f>
        <v/>
      </c>
      <c r="H2645">
        <f>IF(E2645,D2645,10^9)</f>
        <v/>
      </c>
    </row>
    <row r="2646">
      <c r="A2646" t="n">
        <v>2638</v>
      </c>
      <c r="B2646" t="n">
        <v>0</v>
      </c>
      <c r="C2646" t="n">
        <v>0</v>
      </c>
      <c r="D2646" t="n">
        <v>2844.670986889336</v>
      </c>
      <c r="E2646">
        <f>C2646&lt;0.05</f>
        <v/>
      </c>
      <c r="F2646">
        <f>A2646=$B$5</f>
        <v/>
      </c>
      <c r="G2646">
        <f>IF(E2646,A2646,10^9)</f>
        <v/>
      </c>
      <c r="H2646">
        <f>IF(E2646,D2646,10^9)</f>
        <v/>
      </c>
    </row>
    <row r="2647">
      <c r="A2647" t="n">
        <v>2639</v>
      </c>
      <c r="B2647" t="n">
        <v>0</v>
      </c>
      <c r="C2647" t="n">
        <v>0</v>
      </c>
      <c r="D2647" t="n">
        <v>2845.670986889336</v>
      </c>
      <c r="E2647">
        <f>C2647&lt;0.05</f>
        <v/>
      </c>
      <c r="F2647">
        <f>A2647=$B$5</f>
        <v/>
      </c>
      <c r="G2647">
        <f>IF(E2647,A2647,10^9)</f>
        <v/>
      </c>
      <c r="H2647">
        <f>IF(E2647,D2647,10^9)</f>
        <v/>
      </c>
    </row>
    <row r="2648">
      <c r="A2648" t="n">
        <v>2640</v>
      </c>
      <c r="B2648" t="n">
        <v>0</v>
      </c>
      <c r="C2648" t="n">
        <v>0</v>
      </c>
      <c r="D2648" t="n">
        <v>2846.670986889336</v>
      </c>
      <c r="E2648">
        <f>C2648&lt;0.05</f>
        <v/>
      </c>
      <c r="F2648">
        <f>A2648=$B$5</f>
        <v/>
      </c>
      <c r="G2648">
        <f>IF(E2648,A2648,10^9)</f>
        <v/>
      </c>
      <c r="H2648">
        <f>IF(E2648,D2648,10^9)</f>
        <v/>
      </c>
    </row>
    <row r="2649">
      <c r="A2649" t="n">
        <v>2641</v>
      </c>
      <c r="B2649" t="n">
        <v>0</v>
      </c>
      <c r="C2649" t="n">
        <v>0</v>
      </c>
      <c r="D2649" t="n">
        <v>2847.670986889336</v>
      </c>
      <c r="E2649">
        <f>C2649&lt;0.05</f>
        <v/>
      </c>
      <c r="F2649">
        <f>A2649=$B$5</f>
        <v/>
      </c>
      <c r="G2649">
        <f>IF(E2649,A2649,10^9)</f>
        <v/>
      </c>
      <c r="H2649">
        <f>IF(E2649,D2649,10^9)</f>
        <v/>
      </c>
    </row>
    <row r="2650">
      <c r="A2650" t="n">
        <v>2642</v>
      </c>
      <c r="B2650" t="n">
        <v>0</v>
      </c>
      <c r="C2650" t="n">
        <v>0</v>
      </c>
      <c r="D2650" t="n">
        <v>2848.670986889336</v>
      </c>
      <c r="E2650">
        <f>C2650&lt;0.05</f>
        <v/>
      </c>
      <c r="F2650">
        <f>A2650=$B$5</f>
        <v/>
      </c>
      <c r="G2650">
        <f>IF(E2650,A2650,10^9)</f>
        <v/>
      </c>
      <c r="H2650">
        <f>IF(E2650,D2650,10^9)</f>
        <v/>
      </c>
    </row>
    <row r="2651">
      <c r="A2651" t="n">
        <v>2643</v>
      </c>
      <c r="B2651" t="n">
        <v>0</v>
      </c>
      <c r="C2651" t="n">
        <v>0</v>
      </c>
      <c r="D2651" t="n">
        <v>2849.670986889336</v>
      </c>
      <c r="E2651">
        <f>C2651&lt;0.05</f>
        <v/>
      </c>
      <c r="F2651">
        <f>A2651=$B$5</f>
        <v/>
      </c>
      <c r="G2651">
        <f>IF(E2651,A2651,10^9)</f>
        <v/>
      </c>
      <c r="H2651">
        <f>IF(E2651,D2651,10^9)</f>
        <v/>
      </c>
    </row>
    <row r="2652">
      <c r="A2652" t="n">
        <v>2644</v>
      </c>
      <c r="B2652" t="n">
        <v>0</v>
      </c>
      <c r="C2652" t="n">
        <v>0</v>
      </c>
      <c r="D2652" t="n">
        <v>2850.670986889336</v>
      </c>
      <c r="E2652">
        <f>C2652&lt;0.05</f>
        <v/>
      </c>
      <c r="F2652">
        <f>A2652=$B$5</f>
        <v/>
      </c>
      <c r="G2652">
        <f>IF(E2652,A2652,10^9)</f>
        <v/>
      </c>
      <c r="H2652">
        <f>IF(E2652,D2652,10^9)</f>
        <v/>
      </c>
    </row>
    <row r="2653">
      <c r="A2653" t="n">
        <v>2645</v>
      </c>
      <c r="B2653" t="n">
        <v>0</v>
      </c>
      <c r="C2653" t="n">
        <v>0</v>
      </c>
      <c r="D2653" t="n">
        <v>2851.670986889336</v>
      </c>
      <c r="E2653">
        <f>C2653&lt;0.05</f>
        <v/>
      </c>
      <c r="F2653">
        <f>A2653=$B$5</f>
        <v/>
      </c>
      <c r="G2653">
        <f>IF(E2653,A2653,10^9)</f>
        <v/>
      </c>
      <c r="H2653">
        <f>IF(E2653,D2653,10^9)</f>
        <v/>
      </c>
    </row>
  </sheetData>
  <autoFilter ref="A7:H2653"/>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76"/>
  <sheetViews>
    <sheetView workbookViewId="0">
      <pane ySplit="18" topLeftCell="A19" activePane="bottomLeft" state="frozen"/>
      <selection pane="bottomLeft" activeCell="A1" sqref="A1"/>
    </sheetView>
  </sheetViews>
  <sheetFormatPr baseColWidth="8" defaultRowHeight="15"/>
  <cols>
    <col width="36" customWidth="1" min="1" max="1"/>
    <col width="18" customWidth="1" min="2" max="2"/>
    <col width="55"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Class A results — CA_3 FOODS holdout</t>
        </is>
      </c>
    </row>
    <row r="2" ht="48" customHeight="1">
      <c r="A2" s="2" t="inlineStr">
        <is>
          <t>One row per class A item. safety_stock is the decision from the Python search. reorder_point, fill_rate, cycle_stock_units, textbook_units_held, and meets_cap are formulas. units_short, the cycle counts, and avg_on_hand are the simulation at that safety stock. Editing safety_stock on this sheet does not rerun the simulation. The live model is Example_FOODS_3_090. The portfolio objective is the sum of avg_on_hand. The cap is each item's fill_rate &lt; 0.05. No dollars.</t>
        </is>
      </c>
    </row>
    <row r="4">
      <c r="A4" s="3" t="inlineStr">
        <is>
          <t>n_items</t>
        </is>
      </c>
      <c r="B4">
        <f>COUNTA(A19:A576)</f>
        <v/>
      </c>
      <c r="C4" s="2" t="inlineStr">
        <is>
          <t>Class A items in the table.</t>
        </is>
      </c>
    </row>
    <row r="5">
      <c r="A5" s="3" t="inlineStr">
        <is>
          <t>units_demanded</t>
        </is>
      </c>
      <c r="B5">
        <f>SUM(H19:H576)</f>
        <v/>
      </c>
      <c r="C5" s="2" t="inlineStr">
        <is>
          <t>Sum of actual holdout units.</t>
        </is>
      </c>
    </row>
    <row r="6">
      <c r="A6" s="3" t="inlineStr">
        <is>
          <t>units_short</t>
        </is>
      </c>
      <c r="B6">
        <f>SUM(G19:G576)</f>
        <v/>
      </c>
      <c r="C6" s="2" t="inlineStr">
        <is>
          <t>Sum of simulated units short.</t>
        </is>
      </c>
    </row>
    <row r="7">
      <c r="A7" s="3" t="inlineStr">
        <is>
          <t>fill_rate</t>
        </is>
      </c>
      <c r="B7" s="16">
        <f>IF(B5=0,0,B6/B5)</f>
        <v/>
      </c>
      <c r="C7" s="2" t="inlineStr">
        <is>
          <t>Portfolio shortfall. Sum of units short / sum of units demanded. Not the average of the item rates.</t>
        </is>
      </c>
    </row>
    <row r="8">
      <c r="A8" s="3" t="inlineStr">
        <is>
          <t>OBJECTIVE_total_avg_on_hand</t>
        </is>
      </c>
      <c r="B8" s="17">
        <f>SUM(M19:M576)</f>
        <v/>
      </c>
      <c r="C8" s="2" t="inlineStr">
        <is>
          <t>Sum across items of average end-of-day on-hand. This is the portfolio objective, in units.</t>
        </is>
      </c>
    </row>
    <row r="9">
      <c r="A9" s="3" t="inlineStr">
        <is>
          <t>total_safety_stock</t>
        </is>
      </c>
      <c r="B9">
        <f>SUM(E19:E576)</f>
        <v/>
      </c>
      <c r="C9" s="2" t="inlineStr">
        <is>
          <t>Sum of the decision variable. Not the objective by itself, because on-hand also depends on the order quantity and the path.</t>
        </is>
      </c>
    </row>
    <row r="10">
      <c r="A10" s="3" t="inlineStr">
        <is>
          <t>items_missing_cap</t>
        </is>
      </c>
      <c r="B10" s="9">
        <f>COUNTIF(P19:P576,FALSE)</f>
        <v/>
      </c>
      <c r="C10" s="2" t="inlineStr">
        <is>
          <t>Must be 0. A FALSE meets_cap is an item whose shortfall is not strictly under 0.05.</t>
        </is>
      </c>
    </row>
    <row r="11">
      <c r="A11" s="3" t="inlineStr">
        <is>
          <t>total_days_stocked_out</t>
        </is>
      </c>
      <c r="B11">
        <f>SUM(J19:J576)</f>
        <v/>
      </c>
      <c r="C11" s="2" t="inlineStr">
        <is>
          <t>Item-days with any shortfall.</t>
        </is>
      </c>
    </row>
    <row r="12">
      <c r="A12" s="3" t="inlineStr">
        <is>
          <t>day_stockout_rate</t>
        </is>
      </c>
      <c r="B12" s="5">
        <f>IF(B4=0,0,B11/(B4*28))</f>
        <v/>
      </c>
      <c r="C12" s="2" t="inlineStr">
        <is>
          <t>Share of item-days with a shortfall. Not the cap.</t>
        </is>
      </c>
    </row>
    <row r="13">
      <c r="A13" s="3" t="inlineStr">
        <is>
          <t>total_cycles</t>
        </is>
      </c>
      <c r="B13">
        <f>SUM(K19:K576)</f>
        <v/>
      </c>
      <c r="C13" s="2" t="inlineStr">
        <is>
          <t>Order days across items.</t>
        </is>
      </c>
    </row>
    <row r="14">
      <c r="A14" s="3" t="inlineStr">
        <is>
          <t>total_cycles_with_stockout</t>
        </is>
      </c>
      <c r="B14">
        <f>SUM(L19:L576)</f>
        <v/>
      </c>
      <c r="C14" s="2" t="inlineStr">
        <is>
          <t>Order days whose cycle contains a shortfall.</t>
        </is>
      </c>
    </row>
    <row r="15">
      <c r="A15" s="3" t="inlineStr">
        <is>
          <t>cycle_stockout_share</t>
        </is>
      </c>
      <c r="B15" s="5">
        <f>IF(B13=0,0,B14/B13)</f>
        <v/>
      </c>
      <c r="C15" s="2" t="inlineStr">
        <is>
          <t>Cycles with a stockout / cycles. Not the cap. A 28-day window has few cycles per item.</t>
        </is>
      </c>
    </row>
    <row r="16">
      <c r="A16" s="3" t="inlineStr">
        <is>
          <t>cycle_service_level</t>
        </is>
      </c>
      <c r="B16" s="5">
        <f>1-B15</f>
        <v/>
      </c>
      <c r="C16" s="2" t="inlineStr">
        <is>
          <t>Share of cycles with no stockout. Textbook cycle service. Not the cap.</t>
        </is>
      </c>
    </row>
    <row r="18" ht="32" customHeight="1">
      <c r="A18" s="12" t="inlineStr">
        <is>
          <t>item_id</t>
        </is>
      </c>
      <c r="B18" s="12" t="inlineStr">
        <is>
          <t>mean_daily_lgbm</t>
        </is>
      </c>
      <c r="C18" s="12" t="inlineStr">
        <is>
          <t>expected_lead_time_demand</t>
        </is>
      </c>
      <c r="D18" s="12" t="inlineStr">
        <is>
          <t>order_qty</t>
        </is>
      </c>
      <c r="E18" s="12" t="inlineStr">
        <is>
          <t>safety_stock</t>
        </is>
      </c>
      <c r="F18" s="12" t="inlineStr">
        <is>
          <t>reorder_point</t>
        </is>
      </c>
      <c r="G18" s="12" t="inlineStr">
        <is>
          <t>units_short</t>
        </is>
      </c>
      <c r="H18" s="12" t="inlineStr">
        <is>
          <t>units_demanded</t>
        </is>
      </c>
      <c r="I18" s="12" t="inlineStr">
        <is>
          <t>fill_rate</t>
        </is>
      </c>
      <c r="J18" s="12" t="inlineStr">
        <is>
          <t>days_stocked_out</t>
        </is>
      </c>
      <c r="K18" s="12" t="inlineStr">
        <is>
          <t>cycles</t>
        </is>
      </c>
      <c r="L18" s="12" t="inlineStr">
        <is>
          <t>cycles_with_stockout</t>
        </is>
      </c>
      <c r="M18" s="12" t="inlineStr">
        <is>
          <t>avg_on_hand</t>
        </is>
      </c>
      <c r="N18" s="12" t="inlineStr">
        <is>
          <t>cycle_stock_units</t>
        </is>
      </c>
      <c r="O18" s="12" t="inlineStr">
        <is>
          <t>textbook_units_held</t>
        </is>
      </c>
      <c r="P18" s="12" t="inlineStr">
        <is>
          <t>meets_cap</t>
        </is>
      </c>
    </row>
    <row r="19">
      <c r="A19" t="inlineStr">
        <is>
          <t>FOODS_1_004</t>
        </is>
      </c>
      <c r="B19" t="n">
        <v>0.9025878582571109</v>
      </c>
      <c r="C19" t="n">
        <v>6.318115007799776</v>
      </c>
      <c r="D19" t="n">
        <v>7</v>
      </c>
      <c r="E19" s="15" t="n">
        <v>56</v>
      </c>
      <c r="F19">
        <f>C19+E19</f>
        <v/>
      </c>
      <c r="G19" t="n">
        <v>8.681884992200224</v>
      </c>
      <c r="H19" t="n">
        <v>190</v>
      </c>
      <c r="I19">
        <f>IF(H19=0,0,G19/H19)</f>
        <v/>
      </c>
      <c r="J19" t="n">
        <v>3</v>
      </c>
      <c r="K19" t="n">
        <v>19</v>
      </c>
      <c r="L19" t="n">
        <v>3</v>
      </c>
      <c r="M19" t="n">
        <v>28.88470446846415</v>
      </c>
      <c r="N19">
        <f>D19/2</f>
        <v/>
      </c>
      <c r="O19">
        <f>N19+E19</f>
        <v/>
      </c>
      <c r="P19">
        <f>I19&lt;0.05</f>
        <v/>
      </c>
    </row>
    <row r="20">
      <c r="A20" t="inlineStr">
        <is>
          <t>FOODS_1_005</t>
        </is>
      </c>
      <c r="B20" t="n">
        <v>2.780898482136875</v>
      </c>
      <c r="C20" t="n">
        <v>19.46628937495812</v>
      </c>
      <c r="D20" t="n">
        <v>20</v>
      </c>
      <c r="E20" s="15" t="n">
        <v>1</v>
      </c>
      <c r="F20">
        <f>C20+E20</f>
        <v/>
      </c>
      <c r="G20" t="n">
        <v>3.533710625041877</v>
      </c>
      <c r="H20" t="n">
        <v>83</v>
      </c>
      <c r="I20">
        <f>IF(H20=0,0,G20/H20)</f>
        <v/>
      </c>
      <c r="J20" t="n">
        <v>1</v>
      </c>
      <c r="K20" t="n">
        <v>4</v>
      </c>
      <c r="L20" t="n">
        <v>1</v>
      </c>
      <c r="M20" t="n">
        <v>10.7070620089196</v>
      </c>
      <c r="N20">
        <f>D20/2</f>
        <v/>
      </c>
      <c r="O20">
        <f>N20+E20</f>
        <v/>
      </c>
      <c r="P20">
        <f>I20&lt;0.05</f>
        <v/>
      </c>
    </row>
    <row r="21">
      <c r="A21" t="inlineStr">
        <is>
          <t>FOODS_1_009</t>
        </is>
      </c>
      <c r="B21" t="n">
        <v>0.6968835470121343</v>
      </c>
      <c r="C21" t="n">
        <v>4.87818482908494</v>
      </c>
      <c r="D21" t="n">
        <v>5</v>
      </c>
      <c r="E21" s="15" t="n">
        <v>22</v>
      </c>
      <c r="F21">
        <f>C21+E21</f>
        <v/>
      </c>
      <c r="G21" t="n">
        <v>4.12181517091506</v>
      </c>
      <c r="H21" t="n">
        <v>87</v>
      </c>
      <c r="I21">
        <f>IF(H21=0,0,G21/H21)</f>
        <v/>
      </c>
      <c r="J21" t="n">
        <v>2</v>
      </c>
      <c r="K21" t="n">
        <v>16</v>
      </c>
      <c r="L21" t="n">
        <v>2</v>
      </c>
      <c r="M21" t="n">
        <v>9.116753891946773</v>
      </c>
      <c r="N21">
        <f>D21/2</f>
        <v/>
      </c>
      <c r="O21">
        <f>N21+E21</f>
        <v/>
      </c>
      <c r="P21">
        <f>I21&lt;0.05</f>
        <v/>
      </c>
    </row>
    <row r="22">
      <c r="A22" t="inlineStr">
        <is>
          <t>FOODS_1_015</t>
        </is>
      </c>
      <c r="B22" t="n">
        <v>1.762581380370502</v>
      </c>
      <c r="C22" t="n">
        <v>12.33806966259352</v>
      </c>
      <c r="D22" t="n">
        <v>13</v>
      </c>
      <c r="E22" s="15" t="n">
        <v>20</v>
      </c>
      <c r="F22">
        <f>C22+E22</f>
        <v/>
      </c>
      <c r="G22" t="n">
        <v>2.661930337406481</v>
      </c>
      <c r="H22" t="n">
        <v>72</v>
      </c>
      <c r="I22">
        <f>IF(H22=0,0,G22/H22)</f>
        <v/>
      </c>
      <c r="J22" t="n">
        <v>1</v>
      </c>
      <c r="K22" t="n">
        <v>6</v>
      </c>
      <c r="L22" t="n">
        <v>1</v>
      </c>
      <c r="M22" t="n">
        <v>21.72838948620413</v>
      </c>
      <c r="N22">
        <f>D22/2</f>
        <v/>
      </c>
      <c r="O22">
        <f>N22+E22</f>
        <v/>
      </c>
      <c r="P22">
        <f>I22&lt;0.05</f>
        <v/>
      </c>
    </row>
    <row r="23">
      <c r="A23" t="inlineStr">
        <is>
          <t>FOODS_1_018</t>
        </is>
      </c>
      <c r="B23" t="n">
        <v>11.18576971792369</v>
      </c>
      <c r="C23" t="n">
        <v>78.30038802546584</v>
      </c>
      <c r="D23" t="n">
        <v>79</v>
      </c>
      <c r="E23" s="15" t="n">
        <v>44</v>
      </c>
      <c r="F23">
        <f>C23+E23</f>
        <v/>
      </c>
      <c r="G23" t="n">
        <v>19.69961197453416</v>
      </c>
      <c r="H23" t="n">
        <v>406</v>
      </c>
      <c r="I23">
        <f>IF(H23=0,0,G23/H23)</f>
        <v/>
      </c>
      <c r="J23" t="n">
        <v>1</v>
      </c>
      <c r="K23" t="n">
        <v>5</v>
      </c>
      <c r="L23" t="n">
        <v>1</v>
      </c>
      <c r="M23" t="n">
        <v>71.81436886259982</v>
      </c>
      <c r="N23">
        <f>D23/2</f>
        <v/>
      </c>
      <c r="O23">
        <f>N23+E23</f>
        <v/>
      </c>
      <c r="P23">
        <f>I23&lt;0.05</f>
        <v/>
      </c>
    </row>
    <row r="24">
      <c r="A24" t="inlineStr">
        <is>
          <t>FOODS_1_019</t>
        </is>
      </c>
      <c r="B24" t="n">
        <v>6.442967198540354</v>
      </c>
      <c r="C24" t="n">
        <v>45.10077038978248</v>
      </c>
      <c r="D24" t="n">
        <v>46</v>
      </c>
      <c r="E24" s="15" t="n">
        <v>12</v>
      </c>
      <c r="F24">
        <f>C24+E24</f>
        <v/>
      </c>
      <c r="G24" t="n">
        <v>3.899229610217517</v>
      </c>
      <c r="H24" t="n">
        <v>188</v>
      </c>
      <c r="I24">
        <f>IF(H24=0,0,G24/H24)</f>
        <v/>
      </c>
      <c r="J24" t="n">
        <v>1</v>
      </c>
      <c r="K24" t="n">
        <v>5</v>
      </c>
      <c r="L24" t="n">
        <v>1</v>
      </c>
      <c r="M24" t="n">
        <v>37.12873651209625</v>
      </c>
      <c r="N24">
        <f>D24/2</f>
        <v/>
      </c>
      <c r="O24">
        <f>N24+E24</f>
        <v/>
      </c>
      <c r="P24">
        <f>I24&lt;0.05</f>
        <v/>
      </c>
    </row>
    <row r="25">
      <c r="A25" t="inlineStr">
        <is>
          <t>FOODS_1_023</t>
        </is>
      </c>
      <c r="B25" t="n">
        <v>4.729066658959757</v>
      </c>
      <c r="C25" t="n">
        <v>33.1034666127183</v>
      </c>
      <c r="D25" t="n">
        <v>34</v>
      </c>
      <c r="E25" s="15" t="n">
        <v>1</v>
      </c>
      <c r="F25">
        <f>C25+E25</f>
        <v/>
      </c>
      <c r="G25" t="n">
        <v>1.8965333872817</v>
      </c>
      <c r="H25" t="n">
        <v>147</v>
      </c>
      <c r="I25">
        <f>IF(H25=0,0,G25/H25)</f>
        <v/>
      </c>
      <c r="J25" t="n">
        <v>1</v>
      </c>
      <c r="K25" t="n">
        <v>5</v>
      </c>
      <c r="L25" t="n">
        <v>1</v>
      </c>
      <c r="M25" t="n">
        <v>16.30788570272535</v>
      </c>
      <c r="N25">
        <f>D25/2</f>
        <v/>
      </c>
      <c r="O25">
        <f>N25+E25</f>
        <v/>
      </c>
      <c r="P25">
        <f>I25&lt;0.05</f>
        <v/>
      </c>
    </row>
    <row r="26">
      <c r="A26" t="inlineStr">
        <is>
          <t>FOODS_1_024</t>
        </is>
      </c>
      <c r="B26" t="n">
        <v>1.76938957923978</v>
      </c>
      <c r="C26" t="n">
        <v>12.38572705467846</v>
      </c>
      <c r="D26" t="n">
        <v>13</v>
      </c>
      <c r="E26" s="15" t="n">
        <v>17</v>
      </c>
      <c r="F26">
        <f>C26+E26</f>
        <v/>
      </c>
      <c r="G26" t="n">
        <v>2.614272945321538</v>
      </c>
      <c r="H26" t="n">
        <v>70</v>
      </c>
      <c r="I26">
        <f>IF(H26=0,0,G26/H26)</f>
        <v/>
      </c>
      <c r="J26" t="n">
        <v>1</v>
      </c>
      <c r="K26" t="n">
        <v>5</v>
      </c>
      <c r="L26" t="n">
        <v>1</v>
      </c>
      <c r="M26" t="n">
        <v>18.40408436885967</v>
      </c>
      <c r="N26">
        <f>D26/2</f>
        <v/>
      </c>
      <c r="O26">
        <f>N26+E26</f>
        <v/>
      </c>
      <c r="P26">
        <f>I26&lt;0.05</f>
        <v/>
      </c>
    </row>
    <row r="27">
      <c r="A27" t="inlineStr">
        <is>
          <t>FOODS_1_027</t>
        </is>
      </c>
      <c r="B27" t="n">
        <v>2.341299096081118</v>
      </c>
      <c r="C27" t="n">
        <v>16.38909367256782</v>
      </c>
      <c r="D27" t="n">
        <v>17</v>
      </c>
      <c r="E27" s="15" t="n">
        <v>9</v>
      </c>
      <c r="F27">
        <f>C27+E27</f>
        <v/>
      </c>
      <c r="G27" t="n">
        <v>4.610906327432176</v>
      </c>
      <c r="H27" t="n">
        <v>101</v>
      </c>
      <c r="I27">
        <f>IF(H27=0,0,G27/H27)</f>
        <v/>
      </c>
      <c r="J27" t="n">
        <v>1</v>
      </c>
      <c r="K27" t="n">
        <v>6</v>
      </c>
      <c r="L27" t="n">
        <v>1</v>
      </c>
      <c r="M27" t="n">
        <v>10.65285822850879</v>
      </c>
      <c r="N27">
        <f>D27/2</f>
        <v/>
      </c>
      <c r="O27">
        <f>N27+E27</f>
        <v/>
      </c>
      <c r="P27">
        <f>I27&lt;0.05</f>
        <v/>
      </c>
    </row>
    <row r="28">
      <c r="A28" t="inlineStr">
        <is>
          <t>FOODS_1_031</t>
        </is>
      </c>
      <c r="B28" t="n">
        <v>3.277994634715299</v>
      </c>
      <c r="C28" t="n">
        <v>22.94596244300709</v>
      </c>
      <c r="D28" t="n">
        <v>23</v>
      </c>
      <c r="E28" s="15" t="n">
        <v>0</v>
      </c>
      <c r="F28">
        <f>C28+E28</f>
        <v/>
      </c>
      <c r="G28" t="n">
        <v>0</v>
      </c>
      <c r="H28" t="n">
        <v>86</v>
      </c>
      <c r="I28">
        <f>IF(H28=0,0,G28/H28)</f>
        <v/>
      </c>
      <c r="J28" t="n">
        <v>0</v>
      </c>
      <c r="K28" t="n">
        <v>4</v>
      </c>
      <c r="L28" t="n">
        <v>0</v>
      </c>
      <c r="M28" t="n">
        <v>11.05310530014995</v>
      </c>
      <c r="N28">
        <f>D28/2</f>
        <v/>
      </c>
      <c r="O28">
        <f>N28+E28</f>
        <v/>
      </c>
      <c r="P28">
        <f>I28&lt;0.05</f>
        <v/>
      </c>
    </row>
    <row r="29">
      <c r="A29" t="inlineStr">
        <is>
          <t>FOODS_1_032</t>
        </is>
      </c>
      <c r="B29" t="n">
        <v>9.280284756920045</v>
      </c>
      <c r="C29" t="n">
        <v>64.96199329844032</v>
      </c>
      <c r="D29" t="n">
        <v>65</v>
      </c>
      <c r="E29" s="15" t="n">
        <v>0</v>
      </c>
      <c r="F29">
        <f>C29+E29</f>
        <v/>
      </c>
      <c r="G29" t="n">
        <v>5.038006701559681</v>
      </c>
      <c r="H29" t="n">
        <v>212</v>
      </c>
      <c r="I29">
        <f>IF(H29=0,0,G29/H29)</f>
        <v/>
      </c>
      <c r="J29" t="n">
        <v>1</v>
      </c>
      <c r="K29" t="n">
        <v>4</v>
      </c>
      <c r="L29" t="n">
        <v>1</v>
      </c>
      <c r="M29" t="n">
        <v>50.96470806283746</v>
      </c>
      <c r="N29">
        <f>D29/2</f>
        <v/>
      </c>
      <c r="O29">
        <f>N29+E29</f>
        <v/>
      </c>
      <c r="P29">
        <f>I29&lt;0.05</f>
        <v/>
      </c>
    </row>
    <row r="30">
      <c r="A30" t="inlineStr">
        <is>
          <t>FOODS_1_036</t>
        </is>
      </c>
      <c r="B30" t="n">
        <v>2.821108157623187</v>
      </c>
      <c r="C30" t="n">
        <v>19.74775710336231</v>
      </c>
      <c r="D30" t="n">
        <v>20</v>
      </c>
      <c r="E30" s="15" t="n">
        <v>1</v>
      </c>
      <c r="F30">
        <f>C30+E30</f>
        <v/>
      </c>
      <c r="G30" t="n">
        <v>0</v>
      </c>
      <c r="H30" t="n">
        <v>80</v>
      </c>
      <c r="I30">
        <f>IF(H30=0,0,G30/H30)</f>
        <v/>
      </c>
      <c r="J30" t="n">
        <v>0</v>
      </c>
      <c r="K30" t="n">
        <v>5</v>
      </c>
      <c r="L30" t="n">
        <v>0</v>
      </c>
      <c r="M30" t="n">
        <v>11.28347138907659</v>
      </c>
      <c r="N30">
        <f>D30/2</f>
        <v/>
      </c>
      <c r="O30">
        <f>N30+E30</f>
        <v/>
      </c>
      <c r="P30">
        <f>I30&lt;0.05</f>
        <v/>
      </c>
    </row>
    <row r="31">
      <c r="A31" t="inlineStr">
        <is>
          <t>FOODS_1_037</t>
        </is>
      </c>
      <c r="B31" t="n">
        <v>2.660395929034504</v>
      </c>
      <c r="C31" t="n">
        <v>18.62277150324153</v>
      </c>
      <c r="D31" t="n">
        <v>19</v>
      </c>
      <c r="E31" s="15" t="n">
        <v>1</v>
      </c>
      <c r="F31">
        <f>C31+E31</f>
        <v/>
      </c>
      <c r="G31" t="n">
        <v>3.37722849675847</v>
      </c>
      <c r="H31" t="n">
        <v>80</v>
      </c>
      <c r="I31">
        <f>IF(H31=0,0,G31/H31)</f>
        <v/>
      </c>
      <c r="J31" t="n">
        <v>2</v>
      </c>
      <c r="K31" t="n">
        <v>5</v>
      </c>
      <c r="L31" t="n">
        <v>2</v>
      </c>
      <c r="M31" t="n">
        <v>12.45424289447791</v>
      </c>
      <c r="N31">
        <f>D31/2</f>
        <v/>
      </c>
      <c r="O31">
        <f>N31+E31</f>
        <v/>
      </c>
      <c r="P31">
        <f>I31&lt;0.05</f>
        <v/>
      </c>
    </row>
    <row r="32">
      <c r="A32" t="inlineStr">
        <is>
          <t>FOODS_1_042</t>
        </is>
      </c>
      <c r="B32" t="n">
        <v>3.216077525973319</v>
      </c>
      <c r="C32" t="n">
        <v>22.51254268181323</v>
      </c>
      <c r="D32" t="n">
        <v>23</v>
      </c>
      <c r="E32" s="15" t="n">
        <v>0</v>
      </c>
      <c r="F32">
        <f>C32+E32</f>
        <v/>
      </c>
      <c r="G32" t="n">
        <v>0</v>
      </c>
      <c r="H32" t="n">
        <v>89</v>
      </c>
      <c r="I32">
        <f>IF(H32=0,0,G32/H32)</f>
        <v/>
      </c>
      <c r="J32" t="n">
        <v>0</v>
      </c>
      <c r="K32" t="n">
        <v>4</v>
      </c>
      <c r="L32" t="n">
        <v>0</v>
      </c>
      <c r="M32" t="n">
        <v>13.40539982467036</v>
      </c>
      <c r="N32">
        <f>D32/2</f>
        <v/>
      </c>
      <c r="O32">
        <f>N32+E32</f>
        <v/>
      </c>
      <c r="P32">
        <f>I32&lt;0.05</f>
        <v/>
      </c>
    </row>
    <row r="33">
      <c r="A33" t="inlineStr">
        <is>
          <t>FOODS_1_043</t>
        </is>
      </c>
      <c r="B33" t="n">
        <v>0.7330788003491308</v>
      </c>
      <c r="C33" t="n">
        <v>5.131551602443915</v>
      </c>
      <c r="D33" t="n">
        <v>6</v>
      </c>
      <c r="E33" s="15" t="n">
        <v>163</v>
      </c>
      <c r="F33">
        <f>C33+E33</f>
        <v/>
      </c>
      <c r="G33" t="n">
        <v>22.86844839755608</v>
      </c>
      <c r="H33" t="n">
        <v>581</v>
      </c>
      <c r="I33">
        <f>IF(H33=0,0,G33/H33)</f>
        <v/>
      </c>
      <c r="J33" t="n">
        <v>4</v>
      </c>
      <c r="K33" t="n">
        <v>27</v>
      </c>
      <c r="L33" t="n">
        <v>4</v>
      </c>
      <c r="M33" t="n">
        <v>46.71615760069825</v>
      </c>
      <c r="N33">
        <f>D33/2</f>
        <v/>
      </c>
      <c r="O33">
        <f>N33+E33</f>
        <v/>
      </c>
      <c r="P33">
        <f>I33&lt;0.05</f>
        <v/>
      </c>
    </row>
    <row r="34">
      <c r="A34" t="inlineStr">
        <is>
          <t>FOODS_1_044</t>
        </is>
      </c>
      <c r="B34" t="n">
        <v>0.7520503387346674</v>
      </c>
      <c r="C34" t="n">
        <v>5.264352371142672</v>
      </c>
      <c r="D34" t="n">
        <v>6</v>
      </c>
      <c r="E34" s="15" t="n">
        <v>7</v>
      </c>
      <c r="F34">
        <f>C34+E34</f>
        <v/>
      </c>
      <c r="G34" t="n">
        <v>1.735647628857329</v>
      </c>
      <c r="H34" t="n">
        <v>49</v>
      </c>
      <c r="I34">
        <f>IF(H34=0,0,G34/H34)</f>
        <v/>
      </c>
      <c r="J34" t="n">
        <v>1</v>
      </c>
      <c r="K34" t="n">
        <v>8</v>
      </c>
      <c r="L34" t="n">
        <v>1</v>
      </c>
      <c r="M34" t="n">
        <v>4.117394550816194</v>
      </c>
      <c r="N34">
        <f>D34/2</f>
        <v/>
      </c>
      <c r="O34">
        <f>N34+E34</f>
        <v/>
      </c>
      <c r="P34">
        <f>I34&lt;0.05</f>
        <v/>
      </c>
    </row>
    <row r="35">
      <c r="A35" t="inlineStr">
        <is>
          <t>FOODS_1_045</t>
        </is>
      </c>
      <c r="B35" t="n">
        <v>1.25169091310841</v>
      </c>
      <c r="C35" t="n">
        <v>8.761836391758873</v>
      </c>
      <c r="D35" t="n">
        <v>9</v>
      </c>
      <c r="E35" s="15" t="n">
        <v>13</v>
      </c>
      <c r="F35">
        <f>C35+E35</f>
        <v/>
      </c>
      <c r="G35" t="n">
        <v>2.238163608241127</v>
      </c>
      <c r="H35" t="n">
        <v>58</v>
      </c>
      <c r="I35">
        <f>IF(H35=0,0,G35/H35)</f>
        <v/>
      </c>
      <c r="J35" t="n">
        <v>2</v>
      </c>
      <c r="K35" t="n">
        <v>7</v>
      </c>
      <c r="L35" t="n">
        <v>1</v>
      </c>
      <c r="M35" t="n">
        <v>12.47786429676242</v>
      </c>
      <c r="N35">
        <f>D35/2</f>
        <v/>
      </c>
      <c r="O35">
        <f>N35+E35</f>
        <v/>
      </c>
      <c r="P35">
        <f>I35&lt;0.05</f>
        <v/>
      </c>
    </row>
    <row r="36">
      <c r="A36" t="inlineStr">
        <is>
          <t>FOODS_1_046</t>
        </is>
      </c>
      <c r="B36" t="n">
        <v>3.195612091194946</v>
      </c>
      <c r="C36" t="n">
        <v>22.36928463836463</v>
      </c>
      <c r="D36" t="n">
        <v>23</v>
      </c>
      <c r="E36" s="15" t="n">
        <v>21</v>
      </c>
      <c r="F36">
        <f>C36+E36</f>
        <v/>
      </c>
      <c r="G36" t="n">
        <v>4.630715361635374</v>
      </c>
      <c r="H36" t="n">
        <v>102</v>
      </c>
      <c r="I36">
        <f>IF(H36=0,0,G36/H36)</f>
        <v/>
      </c>
      <c r="J36" t="n">
        <v>1</v>
      </c>
      <c r="K36" t="n">
        <v>5</v>
      </c>
      <c r="L36" t="n">
        <v>1</v>
      </c>
      <c r="M36" t="n">
        <v>31.00770385107813</v>
      </c>
      <c r="N36">
        <f>D36/2</f>
        <v/>
      </c>
      <c r="O36">
        <f>N36+E36</f>
        <v/>
      </c>
      <c r="P36">
        <f>I36&lt;0.05</f>
        <v/>
      </c>
    </row>
    <row r="37">
      <c r="A37" t="inlineStr">
        <is>
          <t>FOODS_1_047</t>
        </is>
      </c>
      <c r="B37" t="n">
        <v>2.259278547351168</v>
      </c>
      <c r="C37" t="n">
        <v>15.81494983145817</v>
      </c>
      <c r="D37" t="n">
        <v>16</v>
      </c>
      <c r="E37" s="15" t="n">
        <v>1</v>
      </c>
      <c r="F37">
        <f>C37+E37</f>
        <v/>
      </c>
      <c r="G37" t="n">
        <v>2.185050168541828</v>
      </c>
      <c r="H37" t="n">
        <v>61</v>
      </c>
      <c r="I37">
        <f>IF(H37=0,0,G37/H37)</f>
        <v/>
      </c>
      <c r="J37" t="n">
        <v>1</v>
      </c>
      <c r="K37" t="n">
        <v>4</v>
      </c>
      <c r="L37" t="n">
        <v>1</v>
      </c>
      <c r="M37" t="n">
        <v>9.517287385632329</v>
      </c>
      <c r="N37">
        <f>D37/2</f>
        <v/>
      </c>
      <c r="O37">
        <f>N37+E37</f>
        <v/>
      </c>
      <c r="P37">
        <f>I37&lt;0.05</f>
        <v/>
      </c>
    </row>
    <row r="38">
      <c r="A38" t="inlineStr">
        <is>
          <t>FOODS_1_051</t>
        </is>
      </c>
      <c r="B38" t="n">
        <v>1.874793855417923</v>
      </c>
      <c r="C38" t="n">
        <v>13.12355698792546</v>
      </c>
      <c r="D38" t="n">
        <v>14</v>
      </c>
      <c r="E38" s="15" t="n">
        <v>1</v>
      </c>
      <c r="F38">
        <f>C38+E38</f>
        <v/>
      </c>
      <c r="G38" t="n">
        <v>1.876443012074537</v>
      </c>
      <c r="H38" t="n">
        <v>49</v>
      </c>
      <c r="I38">
        <f>IF(H38=0,0,G38/H38)</f>
        <v/>
      </c>
      <c r="J38" t="n">
        <v>2</v>
      </c>
      <c r="K38" t="n">
        <v>4</v>
      </c>
      <c r="L38" t="n">
        <v>1</v>
      </c>
      <c r="M38" t="n">
        <v>9.772063747843832</v>
      </c>
      <c r="N38">
        <f>D38/2</f>
        <v/>
      </c>
      <c r="O38">
        <f>N38+E38</f>
        <v/>
      </c>
      <c r="P38">
        <f>I38&lt;0.05</f>
        <v/>
      </c>
    </row>
    <row r="39">
      <c r="A39" t="inlineStr">
        <is>
          <t>FOODS_1_055</t>
        </is>
      </c>
      <c r="B39" t="n">
        <v>7.099386102151996</v>
      </c>
      <c r="C39" t="n">
        <v>49.69570271506397</v>
      </c>
      <c r="D39" t="n">
        <v>50</v>
      </c>
      <c r="E39" s="15" t="n">
        <v>83</v>
      </c>
      <c r="F39">
        <f>C39+E39</f>
        <v/>
      </c>
      <c r="G39" t="n">
        <v>16.30429728493601</v>
      </c>
      <c r="H39" t="n">
        <v>328</v>
      </c>
      <c r="I39">
        <f>IF(H39=0,0,G39/H39)</f>
        <v/>
      </c>
      <c r="J39" t="n">
        <v>1</v>
      </c>
      <c r="K39" t="n">
        <v>7</v>
      </c>
      <c r="L39" t="n">
        <v>1</v>
      </c>
      <c r="M39" t="n">
        <v>76.51555502592716</v>
      </c>
      <c r="N39">
        <f>D39/2</f>
        <v/>
      </c>
      <c r="O39">
        <f>N39+E39</f>
        <v/>
      </c>
      <c r="P39">
        <f>I39&lt;0.05</f>
        <v/>
      </c>
    </row>
    <row r="40">
      <c r="A40" t="inlineStr">
        <is>
          <t>FOODS_1_058</t>
        </is>
      </c>
      <c r="B40" t="n">
        <v>0.7330788003491308</v>
      </c>
      <c r="C40" t="n">
        <v>5.131551602443915</v>
      </c>
      <c r="D40" t="n">
        <v>6</v>
      </c>
      <c r="E40" s="15" t="n">
        <v>87</v>
      </c>
      <c r="F40">
        <f>C40+E40</f>
        <v/>
      </c>
      <c r="G40" t="n">
        <v>8.868448397556079</v>
      </c>
      <c r="H40" t="n">
        <v>187</v>
      </c>
      <c r="I40">
        <f>IF(H40=0,0,G40/H40)</f>
        <v/>
      </c>
      <c r="J40" t="n">
        <v>1</v>
      </c>
      <c r="K40" t="n">
        <v>19</v>
      </c>
      <c r="L40" t="n">
        <v>1</v>
      </c>
      <c r="M40" t="n">
        <v>53.05637925819024</v>
      </c>
      <c r="N40">
        <f>D40/2</f>
        <v/>
      </c>
      <c r="O40">
        <f>N40+E40</f>
        <v/>
      </c>
      <c r="P40">
        <f>I40&lt;0.05</f>
        <v/>
      </c>
    </row>
    <row r="41">
      <c r="A41" t="inlineStr">
        <is>
          <t>FOODS_1_061</t>
        </is>
      </c>
      <c r="B41" t="n">
        <v>3.974882173330111</v>
      </c>
      <c r="C41" t="n">
        <v>27.82417521331077</v>
      </c>
      <c r="D41" t="n">
        <v>28</v>
      </c>
      <c r="E41" s="15" t="n">
        <v>5</v>
      </c>
      <c r="F41">
        <f>C41+E41</f>
        <v/>
      </c>
      <c r="G41" t="n">
        <v>5.175824786689226</v>
      </c>
      <c r="H41" t="n">
        <v>120</v>
      </c>
      <c r="I41">
        <f>IF(H41=0,0,G41/H41)</f>
        <v/>
      </c>
      <c r="J41" t="n">
        <v>3</v>
      </c>
      <c r="K41" t="n">
        <v>5</v>
      </c>
      <c r="L41" t="n">
        <v>2</v>
      </c>
      <c r="M41" t="n">
        <v>18.79003128809121</v>
      </c>
      <c r="N41">
        <f>D41/2</f>
        <v/>
      </c>
      <c r="O41">
        <f>N41+E41</f>
        <v/>
      </c>
      <c r="P41">
        <f>I41&lt;0.05</f>
        <v/>
      </c>
    </row>
    <row r="42">
      <c r="A42" t="inlineStr">
        <is>
          <t>FOODS_1_067</t>
        </is>
      </c>
      <c r="B42" t="n">
        <v>5.119703046839374</v>
      </c>
      <c r="C42" t="n">
        <v>35.83792132787562</v>
      </c>
      <c r="D42" t="n">
        <v>36</v>
      </c>
      <c r="E42" s="15" t="n">
        <v>6</v>
      </c>
      <c r="F42">
        <f>C42+E42</f>
        <v/>
      </c>
      <c r="G42" t="n">
        <v>7.16207867212438</v>
      </c>
      <c r="H42" t="n">
        <v>163</v>
      </c>
      <c r="I42">
        <f>IF(H42=0,0,G42/H42)</f>
        <v/>
      </c>
      <c r="J42" t="n">
        <v>2</v>
      </c>
      <c r="K42" t="n">
        <v>5</v>
      </c>
      <c r="L42" t="n">
        <v>2</v>
      </c>
      <c r="M42" t="n">
        <v>23.00098314168763</v>
      </c>
      <c r="N42">
        <f>D42/2</f>
        <v/>
      </c>
      <c r="O42">
        <f>N42+E42</f>
        <v/>
      </c>
      <c r="P42">
        <f>I42&lt;0.05</f>
        <v/>
      </c>
    </row>
    <row r="43">
      <c r="A43" t="inlineStr">
        <is>
          <t>FOODS_1_069</t>
        </is>
      </c>
      <c r="B43" t="n">
        <v>4.087465089331942</v>
      </c>
      <c r="C43" t="n">
        <v>28.61225562532359</v>
      </c>
      <c r="D43" t="n">
        <v>29</v>
      </c>
      <c r="E43" s="15" t="n">
        <v>0</v>
      </c>
      <c r="F43">
        <f>C43+E43</f>
        <v/>
      </c>
      <c r="G43" t="n">
        <v>1.387744374676409</v>
      </c>
      <c r="H43" t="n">
        <v>111</v>
      </c>
      <c r="I43">
        <f>IF(H43=0,0,G43/H43)</f>
        <v/>
      </c>
      <c r="J43" t="n">
        <v>1</v>
      </c>
      <c r="K43" t="n">
        <v>4</v>
      </c>
      <c r="L43" t="n">
        <v>1</v>
      </c>
      <c r="M43" t="n">
        <v>17.5699758260431</v>
      </c>
      <c r="N43">
        <f>D43/2</f>
        <v/>
      </c>
      <c r="O43">
        <f>N43+E43</f>
        <v/>
      </c>
      <c r="P43">
        <f>I43&lt;0.05</f>
        <v/>
      </c>
    </row>
    <row r="44">
      <c r="A44" t="inlineStr">
        <is>
          <t>FOODS_1_074</t>
        </is>
      </c>
      <c r="B44" t="n">
        <v>1.799014928338494</v>
      </c>
      <c r="C44" t="n">
        <v>12.59310449836946</v>
      </c>
      <c r="D44" t="n">
        <v>13</v>
      </c>
      <c r="E44" s="15" t="n">
        <v>9</v>
      </c>
      <c r="F44">
        <f>C44+E44</f>
        <v/>
      </c>
      <c r="G44" t="n">
        <v>2.406895501630544</v>
      </c>
      <c r="H44" t="n">
        <v>65</v>
      </c>
      <c r="I44">
        <f>IF(H44=0,0,G44/H44)</f>
        <v/>
      </c>
      <c r="J44" t="n">
        <v>3</v>
      </c>
      <c r="K44" t="n">
        <v>5</v>
      </c>
      <c r="L44" t="n">
        <v>2</v>
      </c>
      <c r="M44" t="n">
        <v>12.94852239250774</v>
      </c>
      <c r="N44">
        <f>D44/2</f>
        <v/>
      </c>
      <c r="O44">
        <f>N44+E44</f>
        <v/>
      </c>
      <c r="P44">
        <f>I44&lt;0.05</f>
        <v/>
      </c>
    </row>
    <row r="45">
      <c r="A45" t="inlineStr">
        <is>
          <t>FOODS_1_076</t>
        </is>
      </c>
      <c r="B45" t="n">
        <v>1.377833609363224</v>
      </c>
      <c r="C45" t="n">
        <v>9.644835265542564</v>
      </c>
      <c r="D45" t="n">
        <v>10</v>
      </c>
      <c r="E45" s="15" t="n">
        <v>6</v>
      </c>
      <c r="F45">
        <f>C45+E45</f>
        <v/>
      </c>
      <c r="G45" t="n">
        <v>2.355164734457436</v>
      </c>
      <c r="H45" t="n">
        <v>58</v>
      </c>
      <c r="I45">
        <f>IF(H45=0,0,G45/H45)</f>
        <v/>
      </c>
      <c r="J45" t="n">
        <v>1</v>
      </c>
      <c r="K45" t="n">
        <v>6</v>
      </c>
      <c r="L45" t="n">
        <v>1</v>
      </c>
      <c r="M45" t="n">
        <v>7.320078554079415</v>
      </c>
      <c r="N45">
        <f>D45/2</f>
        <v/>
      </c>
      <c r="O45">
        <f>N45+E45</f>
        <v/>
      </c>
      <c r="P45">
        <f>I45&lt;0.05</f>
        <v/>
      </c>
    </row>
    <row r="46">
      <c r="A46" t="inlineStr">
        <is>
          <t>FOODS_1_083</t>
        </is>
      </c>
      <c r="B46" t="n">
        <v>3.125957148109363</v>
      </c>
      <c r="C46" t="n">
        <v>21.88170003676554</v>
      </c>
      <c r="D46" t="n">
        <v>22</v>
      </c>
      <c r="E46" s="15" t="n">
        <v>3</v>
      </c>
      <c r="F46">
        <f>C46+E46</f>
        <v/>
      </c>
      <c r="G46" t="n">
        <v>4.11829996323446</v>
      </c>
      <c r="H46" t="n">
        <v>92</v>
      </c>
      <c r="I46">
        <f>IF(H46=0,0,G46/H46)</f>
        <v/>
      </c>
      <c r="J46" t="n">
        <v>2</v>
      </c>
      <c r="K46" t="n">
        <v>4</v>
      </c>
      <c r="L46" t="n">
        <v>2</v>
      </c>
      <c r="M46" t="n">
        <v>14.68893572216404</v>
      </c>
      <c r="N46">
        <f>D46/2</f>
        <v/>
      </c>
      <c r="O46">
        <f>N46+E46</f>
        <v/>
      </c>
      <c r="P46">
        <f>I46&lt;0.05</f>
        <v/>
      </c>
    </row>
    <row r="47">
      <c r="A47" t="inlineStr">
        <is>
          <t>FOODS_1_085</t>
        </is>
      </c>
      <c r="B47" t="n">
        <v>5.593367164106069</v>
      </c>
      <c r="C47" t="n">
        <v>39.15357014874248</v>
      </c>
      <c r="D47" t="n">
        <v>40</v>
      </c>
      <c r="E47" s="15" t="n">
        <v>16</v>
      </c>
      <c r="F47">
        <f>C47+E47</f>
        <v/>
      </c>
      <c r="G47" t="n">
        <v>10.84642985125752</v>
      </c>
      <c r="H47" t="n">
        <v>221</v>
      </c>
      <c r="I47">
        <f>IF(H47=0,0,G47/H47)</f>
        <v/>
      </c>
      <c r="J47" t="n">
        <v>2</v>
      </c>
      <c r="K47" t="n">
        <v>6</v>
      </c>
      <c r="L47" t="n">
        <v>1</v>
      </c>
      <c r="M47" t="n">
        <v>27.42028038370401</v>
      </c>
      <c r="N47">
        <f>D47/2</f>
        <v/>
      </c>
      <c r="O47">
        <f>N47+E47</f>
        <v/>
      </c>
      <c r="P47">
        <f>I47&lt;0.05</f>
        <v/>
      </c>
    </row>
    <row r="48">
      <c r="A48" t="inlineStr">
        <is>
          <t>FOODS_1_086</t>
        </is>
      </c>
      <c r="B48" t="n">
        <v>2.320320129172027</v>
      </c>
      <c r="C48" t="n">
        <v>16.24224090420419</v>
      </c>
      <c r="D48" t="n">
        <v>17</v>
      </c>
      <c r="E48" s="15" t="n">
        <v>0</v>
      </c>
      <c r="F48">
        <f>C48+E48</f>
        <v/>
      </c>
      <c r="G48" t="n">
        <v>0.7577590957958087</v>
      </c>
      <c r="H48" t="n">
        <v>55</v>
      </c>
      <c r="I48">
        <f>IF(H48=0,0,G48/H48)</f>
        <v/>
      </c>
      <c r="J48" t="n">
        <v>1</v>
      </c>
      <c r="K48" t="n">
        <v>4</v>
      </c>
      <c r="L48" t="n">
        <v>1</v>
      </c>
      <c r="M48" t="n">
        <v>10.40905162232947</v>
      </c>
      <c r="N48">
        <f>D48/2</f>
        <v/>
      </c>
      <c r="O48">
        <f>N48+E48</f>
        <v/>
      </c>
      <c r="P48">
        <f>I48&lt;0.05</f>
        <v/>
      </c>
    </row>
    <row r="49">
      <c r="A49" t="inlineStr">
        <is>
          <t>FOODS_1_087</t>
        </is>
      </c>
      <c r="B49" t="n">
        <v>4.605379417493968</v>
      </c>
      <c r="C49" t="n">
        <v>32.23765592245778</v>
      </c>
      <c r="D49" t="n">
        <v>33</v>
      </c>
      <c r="E49" s="15" t="n">
        <v>0</v>
      </c>
      <c r="F49">
        <f>C49+E49</f>
        <v/>
      </c>
      <c r="G49" t="n">
        <v>3.762344077542224</v>
      </c>
      <c r="H49" t="n">
        <v>131</v>
      </c>
      <c r="I49">
        <f>IF(H49=0,0,G49/H49)</f>
        <v/>
      </c>
      <c r="J49" t="n">
        <v>1</v>
      </c>
      <c r="K49" t="n">
        <v>4</v>
      </c>
      <c r="L49" t="n">
        <v>1</v>
      </c>
      <c r="M49" t="n">
        <v>16.10681337041476</v>
      </c>
      <c r="N49">
        <f>D49/2</f>
        <v/>
      </c>
      <c r="O49">
        <f>N49+E49</f>
        <v/>
      </c>
      <c r="P49">
        <f>I49&lt;0.05</f>
        <v/>
      </c>
    </row>
    <row r="50">
      <c r="A50" t="inlineStr">
        <is>
          <t>FOODS_1_088</t>
        </is>
      </c>
      <c r="B50" t="n">
        <v>3.976184468830652</v>
      </c>
      <c r="C50" t="n">
        <v>27.83329128181456</v>
      </c>
      <c r="D50" t="n">
        <v>28</v>
      </c>
      <c r="E50" s="15" t="n">
        <v>0</v>
      </c>
      <c r="F50">
        <f>C50+E50</f>
        <v/>
      </c>
      <c r="G50" t="n">
        <v>0.1667087181854328</v>
      </c>
      <c r="H50" t="n">
        <v>100</v>
      </c>
      <c r="I50">
        <f>IF(H50=0,0,G50/H50)</f>
        <v/>
      </c>
      <c r="J50" t="n">
        <v>1</v>
      </c>
      <c r="K50" t="n">
        <v>4</v>
      </c>
      <c r="L50" t="n">
        <v>1</v>
      </c>
      <c r="M50" t="n">
        <v>19.01188073246547</v>
      </c>
      <c r="N50">
        <f>D50/2</f>
        <v/>
      </c>
      <c r="O50">
        <f>N50+E50</f>
        <v/>
      </c>
      <c r="P50">
        <f>I50&lt;0.05</f>
        <v/>
      </c>
    </row>
    <row r="51">
      <c r="A51" t="inlineStr">
        <is>
          <t>FOODS_1_091</t>
        </is>
      </c>
      <c r="B51" t="n">
        <v>0.6968835470121343</v>
      </c>
      <c r="C51" t="n">
        <v>4.87818482908494</v>
      </c>
      <c r="D51" t="n">
        <v>5</v>
      </c>
      <c r="E51" s="15" t="n">
        <v>12</v>
      </c>
      <c r="F51">
        <f>C51+E51</f>
        <v/>
      </c>
      <c r="G51" t="n">
        <v>2.12181517091506</v>
      </c>
      <c r="H51" t="n">
        <v>49</v>
      </c>
      <c r="I51">
        <f>IF(H51=0,0,G51/H51)</f>
        <v/>
      </c>
      <c r="J51" t="n">
        <v>2</v>
      </c>
      <c r="K51" t="n">
        <v>9</v>
      </c>
      <c r="L51" t="n">
        <v>2</v>
      </c>
      <c r="M51" t="n">
        <v>7.902468177661059</v>
      </c>
      <c r="N51">
        <f>D51/2</f>
        <v/>
      </c>
      <c r="O51">
        <f>N51+E51</f>
        <v/>
      </c>
      <c r="P51">
        <f>I51&lt;0.05</f>
        <v/>
      </c>
    </row>
    <row r="52">
      <c r="A52" t="inlineStr">
        <is>
          <t>FOODS_1_092</t>
        </is>
      </c>
      <c r="B52" t="n">
        <v>1.41391139908424</v>
      </c>
      <c r="C52" t="n">
        <v>9.897379793589677</v>
      </c>
      <c r="D52" t="n">
        <v>10</v>
      </c>
      <c r="E52" s="15" t="n">
        <v>7</v>
      </c>
      <c r="F52">
        <f>C52+E52</f>
        <v/>
      </c>
      <c r="G52" t="n">
        <v>1.102620206410322</v>
      </c>
      <c r="H52" t="n">
        <v>56</v>
      </c>
      <c r="I52">
        <f>IF(H52=0,0,G52/H52)</f>
        <v/>
      </c>
      <c r="J52" t="n">
        <v>2</v>
      </c>
      <c r="K52" t="n">
        <v>6</v>
      </c>
      <c r="L52" t="n">
        <v>1</v>
      </c>
      <c r="M52" t="n">
        <v>7.855271281135482</v>
      </c>
      <c r="N52">
        <f>D52/2</f>
        <v/>
      </c>
      <c r="O52">
        <f>N52+E52</f>
        <v/>
      </c>
      <c r="P52">
        <f>I52&lt;0.05</f>
        <v/>
      </c>
    </row>
    <row r="53">
      <c r="A53" t="inlineStr">
        <is>
          <t>FOODS_1_094</t>
        </is>
      </c>
      <c r="B53" t="n">
        <v>3.21239582855128</v>
      </c>
      <c r="C53" t="n">
        <v>22.48677079985896</v>
      </c>
      <c r="D53" t="n">
        <v>23</v>
      </c>
      <c r="E53" s="15" t="n">
        <v>1</v>
      </c>
      <c r="F53">
        <f>C53+E53</f>
        <v/>
      </c>
      <c r="G53" t="n">
        <v>4.513229200141041</v>
      </c>
      <c r="H53" t="n">
        <v>108</v>
      </c>
      <c r="I53">
        <f>IF(H53=0,0,G53/H53)</f>
        <v/>
      </c>
      <c r="J53" t="n">
        <v>2</v>
      </c>
      <c r="K53" t="n">
        <v>5</v>
      </c>
      <c r="L53" t="n">
        <v>1</v>
      </c>
      <c r="M53" t="n">
        <v>10.04459447133287</v>
      </c>
      <c r="N53">
        <f>D53/2</f>
        <v/>
      </c>
      <c r="O53">
        <f>N53+E53</f>
        <v/>
      </c>
      <c r="P53">
        <f>I53&lt;0.05</f>
        <v/>
      </c>
    </row>
    <row r="54">
      <c r="A54" t="inlineStr">
        <is>
          <t>FOODS_1_096</t>
        </is>
      </c>
      <c r="B54" t="n">
        <v>2.322735145375127</v>
      </c>
      <c r="C54" t="n">
        <v>16.25914601762589</v>
      </c>
      <c r="D54" t="n">
        <v>17</v>
      </c>
      <c r="E54" s="15" t="n">
        <v>4</v>
      </c>
      <c r="F54">
        <f>C54+E54</f>
        <v/>
      </c>
      <c r="G54" t="n">
        <v>2.740853982374112</v>
      </c>
      <c r="H54" t="n">
        <v>74</v>
      </c>
      <c r="I54">
        <f>IF(H54=0,0,G54/H54)</f>
        <v/>
      </c>
      <c r="J54" t="n">
        <v>2</v>
      </c>
      <c r="K54" t="n">
        <v>5</v>
      </c>
      <c r="L54" t="n">
        <v>1</v>
      </c>
      <c r="M54" t="n">
        <v>12.06206415922403</v>
      </c>
      <c r="N54">
        <f>D54/2</f>
        <v/>
      </c>
      <c r="O54">
        <f>N54+E54</f>
        <v/>
      </c>
      <c r="P54">
        <f>I54&lt;0.05</f>
        <v/>
      </c>
    </row>
    <row r="55">
      <c r="A55" t="inlineStr">
        <is>
          <t>FOODS_1_097</t>
        </is>
      </c>
      <c r="B55" t="n">
        <v>1.913595877067032</v>
      </c>
      <c r="C55" t="n">
        <v>13.39517113946922</v>
      </c>
      <c r="D55" t="n">
        <v>14</v>
      </c>
      <c r="E55" s="15" t="n">
        <v>1</v>
      </c>
      <c r="F55">
        <f>C55+E55</f>
        <v/>
      </c>
      <c r="G55" t="n">
        <v>2.604828860530779</v>
      </c>
      <c r="H55" t="n">
        <v>58</v>
      </c>
      <c r="I55">
        <f>IF(H55=0,0,G55/H55)</f>
        <v/>
      </c>
      <c r="J55" t="n">
        <v>2</v>
      </c>
      <c r="K55" t="n">
        <v>4</v>
      </c>
      <c r="L55" t="n">
        <v>2</v>
      </c>
      <c r="M55" t="n">
        <v>8.191822387029118</v>
      </c>
      <c r="N55">
        <f>D55/2</f>
        <v/>
      </c>
      <c r="O55">
        <f>N55+E55</f>
        <v/>
      </c>
      <c r="P55">
        <f>I55&lt;0.05</f>
        <v/>
      </c>
    </row>
    <row r="56">
      <c r="A56" t="inlineStr">
        <is>
          <t>FOODS_1_099</t>
        </is>
      </c>
      <c r="B56" t="n">
        <v>7.838335206865699</v>
      </c>
      <c r="C56" t="n">
        <v>54.86834644805989</v>
      </c>
      <c r="D56" t="n">
        <v>55</v>
      </c>
      <c r="E56" s="15" t="n">
        <v>11</v>
      </c>
      <c r="F56">
        <f>C56+E56</f>
        <v/>
      </c>
      <c r="G56" t="n">
        <v>12.1316535519401</v>
      </c>
      <c r="H56" t="n">
        <v>252</v>
      </c>
      <c r="I56">
        <f>IF(H56=0,0,G56/H56)</f>
        <v/>
      </c>
      <c r="J56" t="n">
        <v>3</v>
      </c>
      <c r="K56" t="n">
        <v>5</v>
      </c>
      <c r="L56" t="n">
        <v>2</v>
      </c>
      <c r="M56" t="n">
        <v>33.54791900858213</v>
      </c>
      <c r="N56">
        <f>D56/2</f>
        <v/>
      </c>
      <c r="O56">
        <f>N56+E56</f>
        <v/>
      </c>
      <c r="P56">
        <f>I56&lt;0.05</f>
        <v/>
      </c>
    </row>
    <row r="57">
      <c r="A57" t="inlineStr">
        <is>
          <t>FOODS_1_103</t>
        </is>
      </c>
      <c r="B57" t="n">
        <v>1.0573663862775</v>
      </c>
      <c r="C57" t="n">
        <v>7.4015647039425</v>
      </c>
      <c r="D57" t="n">
        <v>8</v>
      </c>
      <c r="E57" s="15" t="n">
        <v>23</v>
      </c>
      <c r="F57">
        <f>C57+E57</f>
        <v/>
      </c>
      <c r="G57" t="n">
        <v>2.598435296057502</v>
      </c>
      <c r="H57" t="n">
        <v>65</v>
      </c>
      <c r="I57">
        <f>IF(H57=0,0,G57/H57)</f>
        <v/>
      </c>
      <c r="J57" t="n">
        <v>1</v>
      </c>
      <c r="K57" t="n">
        <v>6</v>
      </c>
      <c r="L57" t="n">
        <v>1</v>
      </c>
      <c r="M57" t="n">
        <v>21.74436596451599</v>
      </c>
      <c r="N57">
        <f>D57/2</f>
        <v/>
      </c>
      <c r="O57">
        <f>N57+E57</f>
        <v/>
      </c>
      <c r="P57">
        <f>I57&lt;0.05</f>
        <v/>
      </c>
    </row>
    <row r="58">
      <c r="A58" t="inlineStr">
        <is>
          <t>FOODS_1_104</t>
        </is>
      </c>
      <c r="B58" t="n">
        <v>4.657771160503578</v>
      </c>
      <c r="C58" t="n">
        <v>32.60439812352504</v>
      </c>
      <c r="D58" t="n">
        <v>33</v>
      </c>
      <c r="E58" s="15" t="n">
        <v>1</v>
      </c>
      <c r="F58">
        <f>C58+E58</f>
        <v/>
      </c>
      <c r="G58" t="n">
        <v>2.395601876474956</v>
      </c>
      <c r="H58" t="n">
        <v>130</v>
      </c>
      <c r="I58">
        <f>IF(H58=0,0,G58/H58)</f>
        <v/>
      </c>
      <c r="J58" t="n">
        <v>2</v>
      </c>
      <c r="K58" t="n">
        <v>4</v>
      </c>
      <c r="L58" t="n">
        <v>1</v>
      </c>
      <c r="M58" t="n">
        <v>24.39364252205804</v>
      </c>
      <c r="N58">
        <f>D58/2</f>
        <v/>
      </c>
      <c r="O58">
        <f>N58+E58</f>
        <v/>
      </c>
      <c r="P58">
        <f>I58&lt;0.05</f>
        <v/>
      </c>
    </row>
    <row r="59">
      <c r="A59" t="inlineStr">
        <is>
          <t>FOODS_1_106</t>
        </is>
      </c>
      <c r="B59" t="n">
        <v>3.133927585719511</v>
      </c>
      <c r="C59" t="n">
        <v>21.93749310003658</v>
      </c>
      <c r="D59" t="n">
        <v>22</v>
      </c>
      <c r="E59" s="15" t="n">
        <v>12</v>
      </c>
      <c r="F59">
        <f>C59+E59</f>
        <v/>
      </c>
      <c r="G59" t="n">
        <v>5.062506899963424</v>
      </c>
      <c r="H59" t="n">
        <v>102</v>
      </c>
      <c r="I59">
        <f>IF(H59=0,0,G59/H59)</f>
        <v/>
      </c>
      <c r="J59" t="n">
        <v>1</v>
      </c>
      <c r="K59" t="n">
        <v>5</v>
      </c>
      <c r="L59" t="n">
        <v>1</v>
      </c>
      <c r="M59" t="n">
        <v>23.54017512144687</v>
      </c>
      <c r="N59">
        <f>D59/2</f>
        <v/>
      </c>
      <c r="O59">
        <f>N59+E59</f>
        <v/>
      </c>
      <c r="P59">
        <f>I59&lt;0.05</f>
        <v/>
      </c>
    </row>
    <row r="60">
      <c r="A60" t="inlineStr">
        <is>
          <t>FOODS_1_110</t>
        </is>
      </c>
      <c r="B60" t="n">
        <v>0.7489936509414932</v>
      </c>
      <c r="C60" t="n">
        <v>5.242955556590452</v>
      </c>
      <c r="D60" t="n">
        <v>6</v>
      </c>
      <c r="E60" s="15" t="n">
        <v>108</v>
      </c>
      <c r="F60">
        <f>C60+E60</f>
        <v/>
      </c>
      <c r="G60" t="n">
        <v>19.75704444340954</v>
      </c>
      <c r="H60" t="n">
        <v>407</v>
      </c>
      <c r="I60">
        <f>IF(H60=0,0,G60/H60)</f>
        <v/>
      </c>
      <c r="J60" t="n">
        <v>3</v>
      </c>
      <c r="K60" t="n">
        <v>27</v>
      </c>
      <c r="L60" t="n">
        <v>3</v>
      </c>
      <c r="M60" t="n">
        <v>30.64952142890408</v>
      </c>
      <c r="N60">
        <f>D60/2</f>
        <v/>
      </c>
      <c r="O60">
        <f>N60+E60</f>
        <v/>
      </c>
      <c r="P60">
        <f>I60&lt;0.05</f>
        <v/>
      </c>
    </row>
    <row r="61">
      <c r="A61" t="inlineStr">
        <is>
          <t>FOODS_1_113</t>
        </is>
      </c>
      <c r="B61" t="n">
        <v>3.869034126570166</v>
      </c>
      <c r="C61" t="n">
        <v>27.08323888599116</v>
      </c>
      <c r="D61" t="n">
        <v>28</v>
      </c>
      <c r="E61" s="15" t="n">
        <v>2</v>
      </c>
      <c r="F61">
        <f>C61+E61</f>
        <v/>
      </c>
      <c r="G61" t="n">
        <v>5.916761114008835</v>
      </c>
      <c r="H61" t="n">
        <v>119</v>
      </c>
      <c r="I61">
        <f>IF(H61=0,0,G61/H61)</f>
        <v/>
      </c>
      <c r="J61" t="n">
        <v>2</v>
      </c>
      <c r="K61" t="n">
        <v>5</v>
      </c>
      <c r="L61" t="n">
        <v>1</v>
      </c>
      <c r="M61" t="n">
        <v>14.39872182270607</v>
      </c>
      <c r="N61">
        <f>D61/2</f>
        <v/>
      </c>
      <c r="O61">
        <f>N61+E61</f>
        <v/>
      </c>
      <c r="P61">
        <f>I61&lt;0.05</f>
        <v/>
      </c>
    </row>
    <row r="62">
      <c r="A62" t="inlineStr">
        <is>
          <t>FOODS_1_120</t>
        </is>
      </c>
      <c r="B62" t="n">
        <v>0.7330788003491308</v>
      </c>
      <c r="C62" t="n">
        <v>5.131551602443915</v>
      </c>
      <c r="D62" t="n">
        <v>6</v>
      </c>
      <c r="E62" s="15" t="n">
        <v>54</v>
      </c>
      <c r="F62">
        <f>C62+E62</f>
        <v/>
      </c>
      <c r="G62" t="n">
        <v>6.868448397556087</v>
      </c>
      <c r="H62" t="n">
        <v>148</v>
      </c>
      <c r="I62">
        <f>IF(H62=0,0,G62/H62)</f>
        <v/>
      </c>
      <c r="J62" t="n">
        <v>2</v>
      </c>
      <c r="K62" t="n">
        <v>16</v>
      </c>
      <c r="L62" t="n">
        <v>2</v>
      </c>
      <c r="M62" t="n">
        <v>27.63720437265052</v>
      </c>
      <c r="N62">
        <f>D62/2</f>
        <v/>
      </c>
      <c r="O62">
        <f>N62+E62</f>
        <v/>
      </c>
      <c r="P62">
        <f>I62&lt;0.05</f>
        <v/>
      </c>
    </row>
    <row r="63">
      <c r="A63" t="inlineStr">
        <is>
          <t>FOODS_1_123</t>
        </is>
      </c>
      <c r="B63" t="n">
        <v>2.376155760725992</v>
      </c>
      <c r="C63" t="n">
        <v>16.63309032508194</v>
      </c>
      <c r="D63" t="n">
        <v>17</v>
      </c>
      <c r="E63" s="15" t="n">
        <v>0</v>
      </c>
      <c r="F63">
        <f>C63+E63</f>
        <v/>
      </c>
      <c r="G63" t="n">
        <v>0</v>
      </c>
      <c r="H63" t="n">
        <v>50</v>
      </c>
      <c r="I63">
        <f>IF(H63=0,0,G63/H63)</f>
        <v/>
      </c>
      <c r="J63" t="n">
        <v>0</v>
      </c>
      <c r="K63" t="n">
        <v>3</v>
      </c>
      <c r="L63" t="n">
        <v>0</v>
      </c>
      <c r="M63" t="n">
        <v>12.38309032508194</v>
      </c>
      <c r="N63">
        <f>D63/2</f>
        <v/>
      </c>
      <c r="O63">
        <f>N63+E63</f>
        <v/>
      </c>
      <c r="P63">
        <f>I63&lt;0.05</f>
        <v/>
      </c>
    </row>
    <row r="64">
      <c r="A64" t="inlineStr">
        <is>
          <t>FOODS_1_129</t>
        </is>
      </c>
      <c r="B64" t="n">
        <v>1.218751492900171</v>
      </c>
      <c r="C64" t="n">
        <v>8.531260450301195</v>
      </c>
      <c r="D64" t="n">
        <v>9</v>
      </c>
      <c r="E64" s="15" t="n">
        <v>9</v>
      </c>
      <c r="F64">
        <f>C64+E64</f>
        <v/>
      </c>
      <c r="G64" t="n">
        <v>2.468739549698803</v>
      </c>
      <c r="H64" t="n">
        <v>60</v>
      </c>
      <c r="I64">
        <f>IF(H64=0,0,G64/H64)</f>
        <v/>
      </c>
      <c r="J64" t="n">
        <v>1</v>
      </c>
      <c r="K64" t="n">
        <v>7</v>
      </c>
      <c r="L64" t="n">
        <v>1</v>
      </c>
      <c r="M64" t="n">
        <v>9.117196830626074</v>
      </c>
      <c r="N64">
        <f>D64/2</f>
        <v/>
      </c>
      <c r="O64">
        <f>N64+E64</f>
        <v/>
      </c>
      <c r="P64">
        <f>I64&lt;0.05</f>
        <v/>
      </c>
    </row>
    <row r="65">
      <c r="A65" t="inlineStr">
        <is>
          <t>FOODS_1_130</t>
        </is>
      </c>
      <c r="B65" t="n">
        <v>1.387089929270568</v>
      </c>
      <c r="C65" t="n">
        <v>9.709629504893979</v>
      </c>
      <c r="D65" t="n">
        <v>10</v>
      </c>
      <c r="E65" s="15" t="n">
        <v>3</v>
      </c>
      <c r="F65">
        <f>C65+E65</f>
        <v/>
      </c>
      <c r="G65" t="n">
        <v>2.290370495106021</v>
      </c>
      <c r="H65" t="n">
        <v>54</v>
      </c>
      <c r="I65">
        <f>IF(H65=0,0,G65/H65)</f>
        <v/>
      </c>
      <c r="J65" t="n">
        <v>2</v>
      </c>
      <c r="K65" t="n">
        <v>6</v>
      </c>
      <c r="L65" t="n">
        <v>1</v>
      </c>
      <c r="M65" t="n">
        <v>5.79719566473434</v>
      </c>
      <c r="N65">
        <f>D65/2</f>
        <v/>
      </c>
      <c r="O65">
        <f>N65+E65</f>
        <v/>
      </c>
      <c r="P65">
        <f>I65&lt;0.05</f>
        <v/>
      </c>
    </row>
    <row r="66">
      <c r="A66" t="inlineStr">
        <is>
          <t>FOODS_1_137</t>
        </is>
      </c>
      <c r="B66" t="n">
        <v>4.675742621273992</v>
      </c>
      <c r="C66" t="n">
        <v>32.73019834891794</v>
      </c>
      <c r="D66" t="n">
        <v>33</v>
      </c>
      <c r="E66" s="15" t="n">
        <v>3</v>
      </c>
      <c r="F66">
        <f>C66+E66</f>
        <v/>
      </c>
      <c r="G66" t="n">
        <v>6.269801651082055</v>
      </c>
      <c r="H66" t="n">
        <v>141</v>
      </c>
      <c r="I66">
        <f>IF(H66=0,0,G66/H66)</f>
        <v/>
      </c>
      <c r="J66" t="n">
        <v>2</v>
      </c>
      <c r="K66" t="n">
        <v>5</v>
      </c>
      <c r="L66" t="n">
        <v>2</v>
      </c>
      <c r="M66" t="n">
        <v>20.5436706030304</v>
      </c>
      <c r="N66">
        <f>D66/2</f>
        <v/>
      </c>
      <c r="O66">
        <f>N66+E66</f>
        <v/>
      </c>
      <c r="P66">
        <f>I66&lt;0.05</f>
        <v/>
      </c>
    </row>
    <row r="67">
      <c r="A67" t="inlineStr">
        <is>
          <t>FOODS_1_139</t>
        </is>
      </c>
      <c r="B67" t="n">
        <v>4.501126816808774</v>
      </c>
      <c r="C67" t="n">
        <v>31.50788771766141</v>
      </c>
      <c r="D67" t="n">
        <v>32</v>
      </c>
      <c r="E67" s="15" t="n">
        <v>7</v>
      </c>
      <c r="F67">
        <f>C67+E67</f>
        <v/>
      </c>
      <c r="G67" t="n">
        <v>4.492112282338582</v>
      </c>
      <c r="H67" t="n">
        <v>142</v>
      </c>
      <c r="I67">
        <f>IF(H67=0,0,G67/H67)</f>
        <v/>
      </c>
      <c r="J67" t="n">
        <v>2</v>
      </c>
      <c r="K67" t="n">
        <v>5</v>
      </c>
      <c r="L67" t="n">
        <v>2</v>
      </c>
      <c r="M67" t="n">
        <v>24.23524160336698</v>
      </c>
      <c r="N67">
        <f>D67/2</f>
        <v/>
      </c>
      <c r="O67">
        <f>N67+E67</f>
        <v/>
      </c>
      <c r="P67">
        <f>I67&lt;0.05</f>
        <v/>
      </c>
    </row>
    <row r="68">
      <c r="A68" t="inlineStr">
        <is>
          <t>FOODS_1_142</t>
        </is>
      </c>
      <c r="B68" t="n">
        <v>2.531446467268142</v>
      </c>
      <c r="C68" t="n">
        <v>17.72012527087699</v>
      </c>
      <c r="D68" t="n">
        <v>18</v>
      </c>
      <c r="E68" s="15" t="n">
        <v>15</v>
      </c>
      <c r="F68">
        <f>C68+E68</f>
        <v/>
      </c>
      <c r="G68" t="n">
        <v>0.2798747291230086</v>
      </c>
      <c r="H68" t="n">
        <v>94</v>
      </c>
      <c r="I68">
        <f>IF(H68=0,0,G68/H68)</f>
        <v/>
      </c>
      <c r="J68" t="n">
        <v>1</v>
      </c>
      <c r="K68" t="n">
        <v>6</v>
      </c>
      <c r="L68" t="n">
        <v>1</v>
      </c>
      <c r="M68" t="n">
        <v>17.53290635641596</v>
      </c>
      <c r="N68">
        <f>D68/2</f>
        <v/>
      </c>
      <c r="O68">
        <f>N68+E68</f>
        <v/>
      </c>
      <c r="P68">
        <f>I68&lt;0.05</f>
        <v/>
      </c>
    </row>
    <row r="69">
      <c r="A69" t="inlineStr">
        <is>
          <t>FOODS_1_145</t>
        </is>
      </c>
      <c r="B69" t="n">
        <v>2.241333271213438</v>
      </c>
      <c r="C69" t="n">
        <v>15.68933289849406</v>
      </c>
      <c r="D69" t="n">
        <v>16</v>
      </c>
      <c r="E69" s="15" t="n">
        <v>0</v>
      </c>
      <c r="F69">
        <f>C69+E69</f>
        <v/>
      </c>
      <c r="G69" t="n">
        <v>0</v>
      </c>
      <c r="H69" t="n">
        <v>56</v>
      </c>
      <c r="I69">
        <f>IF(H69=0,0,G69/H69)</f>
        <v/>
      </c>
      <c r="J69" t="n">
        <v>0</v>
      </c>
      <c r="K69" t="n">
        <v>4</v>
      </c>
      <c r="L69" t="n">
        <v>0</v>
      </c>
      <c r="M69" t="n">
        <v>11.65361861277978</v>
      </c>
      <c r="N69">
        <f>D69/2</f>
        <v/>
      </c>
      <c r="O69">
        <f>N69+E69</f>
        <v/>
      </c>
      <c r="P69">
        <f>I69&lt;0.05</f>
        <v/>
      </c>
    </row>
    <row r="70">
      <c r="A70" t="inlineStr">
        <is>
          <t>FOODS_1_150</t>
        </is>
      </c>
      <c r="B70" t="n">
        <v>3.135368081933268</v>
      </c>
      <c r="C70" t="n">
        <v>21.94757657353287</v>
      </c>
      <c r="D70" t="n">
        <v>22</v>
      </c>
      <c r="E70" s="15" t="n">
        <v>4</v>
      </c>
      <c r="F70">
        <f>C70+E70</f>
        <v/>
      </c>
      <c r="G70" t="n">
        <v>4.052423426467126</v>
      </c>
      <c r="H70" t="n">
        <v>89</v>
      </c>
      <c r="I70">
        <f>IF(H70=0,0,G70/H70)</f>
        <v/>
      </c>
      <c r="J70" t="n">
        <v>1</v>
      </c>
      <c r="K70" t="n">
        <v>4</v>
      </c>
      <c r="L70" t="n">
        <v>1</v>
      </c>
      <c r="M70" t="n">
        <v>15.59590926575704</v>
      </c>
      <c r="N70">
        <f>D70/2</f>
        <v/>
      </c>
      <c r="O70">
        <f>N70+E70</f>
        <v/>
      </c>
      <c r="P70">
        <f>I70&lt;0.05</f>
        <v/>
      </c>
    </row>
    <row r="71">
      <c r="A71" t="inlineStr">
        <is>
          <t>FOODS_1_154</t>
        </is>
      </c>
      <c r="B71" t="n">
        <v>5.602355393427374</v>
      </c>
      <c r="C71" t="n">
        <v>39.21648775399161</v>
      </c>
      <c r="D71" t="n">
        <v>40</v>
      </c>
      <c r="E71" s="15" t="n">
        <v>0</v>
      </c>
      <c r="F71">
        <f>C71+E71</f>
        <v/>
      </c>
      <c r="G71" t="n">
        <v>0</v>
      </c>
      <c r="H71" t="n">
        <v>134</v>
      </c>
      <c r="I71">
        <f>IF(H71=0,0,G71/H71)</f>
        <v/>
      </c>
      <c r="J71" t="n">
        <v>0</v>
      </c>
      <c r="K71" t="n">
        <v>4</v>
      </c>
      <c r="L71" t="n">
        <v>0</v>
      </c>
      <c r="M71" t="n">
        <v>21.7164877539916</v>
      </c>
      <c r="N71">
        <f>D71/2</f>
        <v/>
      </c>
      <c r="O71">
        <f>N71+E71</f>
        <v/>
      </c>
      <c r="P71">
        <f>I71&lt;0.05</f>
        <v/>
      </c>
    </row>
    <row r="72">
      <c r="A72" t="inlineStr">
        <is>
          <t>FOODS_1_161</t>
        </is>
      </c>
      <c r="B72" t="n">
        <v>6.256944106875013</v>
      </c>
      <c r="C72" t="n">
        <v>43.79860874812509</v>
      </c>
      <c r="D72" t="n">
        <v>44</v>
      </c>
      <c r="E72" s="15" t="n">
        <v>0</v>
      </c>
      <c r="F72">
        <f>C72+E72</f>
        <v/>
      </c>
      <c r="G72" t="n">
        <v>0</v>
      </c>
      <c r="H72" t="n">
        <v>76</v>
      </c>
      <c r="I72">
        <f>IF(H72=0,0,G72/H72)</f>
        <v/>
      </c>
      <c r="J72" t="n">
        <v>0</v>
      </c>
      <c r="K72" t="n">
        <v>2</v>
      </c>
      <c r="L72" t="n">
        <v>0</v>
      </c>
      <c r="M72" t="n">
        <v>44.08432303383938</v>
      </c>
      <c r="N72">
        <f>D72/2</f>
        <v/>
      </c>
      <c r="O72">
        <f>N72+E72</f>
        <v/>
      </c>
      <c r="P72">
        <f>I72&lt;0.05</f>
        <v/>
      </c>
    </row>
    <row r="73">
      <c r="A73" t="inlineStr">
        <is>
          <t>FOODS_1_162</t>
        </is>
      </c>
      <c r="B73" t="n">
        <v>5.331041304510243</v>
      </c>
      <c r="C73" t="n">
        <v>37.3172891315717</v>
      </c>
      <c r="D73" t="n">
        <v>38</v>
      </c>
      <c r="E73" s="15" t="n">
        <v>35</v>
      </c>
      <c r="F73">
        <f>C73+E73</f>
        <v/>
      </c>
      <c r="G73" t="n">
        <v>9.682710868428302</v>
      </c>
      <c r="H73" t="n">
        <v>199</v>
      </c>
      <c r="I73">
        <f>IF(H73=0,0,G73/H73)</f>
        <v/>
      </c>
      <c r="J73" t="n">
        <v>1</v>
      </c>
      <c r="K73" t="n">
        <v>5</v>
      </c>
      <c r="L73" t="n">
        <v>1</v>
      </c>
      <c r="M73" t="n">
        <v>45.57588423965827</v>
      </c>
      <c r="N73">
        <f>D73/2</f>
        <v/>
      </c>
      <c r="O73">
        <f>N73+E73</f>
        <v/>
      </c>
      <c r="P73">
        <f>I73&lt;0.05</f>
        <v/>
      </c>
    </row>
    <row r="74">
      <c r="A74" t="inlineStr">
        <is>
          <t>FOODS_1_166</t>
        </is>
      </c>
      <c r="B74" t="n">
        <v>2.545564893352079</v>
      </c>
      <c r="C74" t="n">
        <v>17.81895425346455</v>
      </c>
      <c r="D74" t="n">
        <v>18</v>
      </c>
      <c r="E74" s="15" t="n">
        <v>1</v>
      </c>
      <c r="F74">
        <f>C74+E74</f>
        <v/>
      </c>
      <c r="G74" t="n">
        <v>2.181045746535446</v>
      </c>
      <c r="H74" t="n">
        <v>87</v>
      </c>
      <c r="I74">
        <f>IF(H74=0,0,G74/H74)</f>
        <v/>
      </c>
      <c r="J74" t="n">
        <v>3</v>
      </c>
      <c r="K74" t="n">
        <v>5</v>
      </c>
      <c r="L74" t="n">
        <v>2</v>
      </c>
      <c r="M74" t="n">
        <v>8.110527545261528</v>
      </c>
      <c r="N74">
        <f>D74/2</f>
        <v/>
      </c>
      <c r="O74">
        <f>N74+E74</f>
        <v/>
      </c>
      <c r="P74">
        <f>I74&lt;0.05</f>
        <v/>
      </c>
    </row>
    <row r="75">
      <c r="A75" t="inlineStr">
        <is>
          <t>FOODS_1_170</t>
        </is>
      </c>
      <c r="B75" t="n">
        <v>8.976725540685049</v>
      </c>
      <c r="C75" t="n">
        <v>62.83707878479534</v>
      </c>
      <c r="D75" t="n">
        <v>63</v>
      </c>
      <c r="E75" s="15" t="n">
        <v>10</v>
      </c>
      <c r="F75">
        <f>C75+E75</f>
        <v/>
      </c>
      <c r="G75" t="n">
        <v>15.16292121520466</v>
      </c>
      <c r="H75" t="n">
        <v>308</v>
      </c>
      <c r="I75">
        <f>IF(H75=0,0,G75/H75)</f>
        <v/>
      </c>
      <c r="J75" t="n">
        <v>2</v>
      </c>
      <c r="K75" t="n">
        <v>5</v>
      </c>
      <c r="L75" t="n">
        <v>2</v>
      </c>
      <c r="M75" t="n">
        <v>31.82223116817043</v>
      </c>
      <c r="N75">
        <f>D75/2</f>
        <v/>
      </c>
      <c r="O75">
        <f>N75+E75</f>
        <v/>
      </c>
      <c r="P75">
        <f>I75&lt;0.05</f>
        <v/>
      </c>
    </row>
    <row r="76">
      <c r="A76" t="inlineStr">
        <is>
          <t>FOODS_1_173</t>
        </is>
      </c>
      <c r="B76" t="n">
        <v>8.150691819132675</v>
      </c>
      <c r="C76" t="n">
        <v>57.05484273392872</v>
      </c>
      <c r="D76" t="n">
        <v>58</v>
      </c>
      <c r="E76" s="15" t="n">
        <v>0</v>
      </c>
      <c r="F76">
        <f>C76+E76</f>
        <v/>
      </c>
      <c r="G76" t="n">
        <v>0</v>
      </c>
      <c r="H76" t="n">
        <v>196</v>
      </c>
      <c r="I76">
        <f>IF(H76=0,0,G76/H76)</f>
        <v/>
      </c>
      <c r="J76" t="n">
        <v>0</v>
      </c>
      <c r="K76" t="n">
        <v>4</v>
      </c>
      <c r="L76" t="n">
        <v>0</v>
      </c>
      <c r="M76" t="n">
        <v>39.37627130535729</v>
      </c>
      <c r="N76">
        <f>D76/2</f>
        <v/>
      </c>
      <c r="O76">
        <f>N76+E76</f>
        <v/>
      </c>
      <c r="P76">
        <f>I76&lt;0.05</f>
        <v/>
      </c>
    </row>
    <row r="77">
      <c r="A77" t="inlineStr">
        <is>
          <t>FOODS_1_180</t>
        </is>
      </c>
      <c r="B77" t="n">
        <v>0.7291784436825582</v>
      </c>
      <c r="C77" t="n">
        <v>5.104249105777908</v>
      </c>
      <c r="D77" t="n">
        <v>6</v>
      </c>
      <c r="E77" s="15" t="n">
        <v>15</v>
      </c>
      <c r="F77">
        <f>C77+E77</f>
        <v/>
      </c>
      <c r="G77" t="n">
        <v>2.895750894222093</v>
      </c>
      <c r="H77" t="n">
        <v>67</v>
      </c>
      <c r="I77">
        <f>IF(H77=0,0,G77/H77)</f>
        <v/>
      </c>
      <c r="J77" t="n">
        <v>2</v>
      </c>
      <c r="K77" t="n">
        <v>11</v>
      </c>
      <c r="L77" t="n">
        <v>2</v>
      </c>
      <c r="M77" t="n">
        <v>9.058053379809552</v>
      </c>
      <c r="N77">
        <f>D77/2</f>
        <v/>
      </c>
      <c r="O77">
        <f>N77+E77</f>
        <v/>
      </c>
      <c r="P77">
        <f>I77&lt;0.05</f>
        <v/>
      </c>
    </row>
    <row r="78">
      <c r="A78" t="inlineStr">
        <is>
          <t>FOODS_1_181</t>
        </is>
      </c>
      <c r="B78" t="n">
        <v>2.946642623817969</v>
      </c>
      <c r="C78" t="n">
        <v>20.62649836672578</v>
      </c>
      <c r="D78" t="n">
        <v>21</v>
      </c>
      <c r="E78" s="15" t="n">
        <v>7</v>
      </c>
      <c r="F78">
        <f>C78+E78</f>
        <v/>
      </c>
      <c r="G78" t="n">
        <v>3.37350163327422</v>
      </c>
      <c r="H78" t="n">
        <v>77</v>
      </c>
      <c r="I78">
        <f>IF(H78=0,0,G78/H78)</f>
        <v/>
      </c>
      <c r="J78" t="n">
        <v>1</v>
      </c>
      <c r="K78" t="n">
        <v>4</v>
      </c>
      <c r="L78" t="n">
        <v>1</v>
      </c>
      <c r="M78" t="n">
        <v>20.13424965001267</v>
      </c>
      <c r="N78">
        <f>D78/2</f>
        <v/>
      </c>
      <c r="O78">
        <f>N78+E78</f>
        <v/>
      </c>
      <c r="P78">
        <f>I78&lt;0.05</f>
        <v/>
      </c>
    </row>
    <row r="79">
      <c r="A79" t="inlineStr">
        <is>
          <t>FOODS_1_183</t>
        </is>
      </c>
      <c r="B79" t="n">
        <v>2.327880004460534</v>
      </c>
      <c r="C79" t="n">
        <v>16.29516003122374</v>
      </c>
      <c r="D79" t="n">
        <v>17</v>
      </c>
      <c r="E79" s="15" t="n">
        <v>8</v>
      </c>
      <c r="F79">
        <f>C79+E79</f>
        <v/>
      </c>
      <c r="G79" t="n">
        <v>2.704839968776263</v>
      </c>
      <c r="H79" t="n">
        <v>66</v>
      </c>
      <c r="I79">
        <f>IF(H79=0,0,G79/H79)</f>
        <v/>
      </c>
      <c r="J79" t="n">
        <v>2</v>
      </c>
      <c r="K79" t="n">
        <v>4</v>
      </c>
      <c r="L79" t="n">
        <v>1</v>
      </c>
      <c r="M79" t="n">
        <v>16.01762573881866</v>
      </c>
      <c r="N79">
        <f>D79/2</f>
        <v/>
      </c>
      <c r="O79">
        <f>N79+E79</f>
        <v/>
      </c>
      <c r="P79">
        <f>I79&lt;0.05</f>
        <v/>
      </c>
    </row>
    <row r="80">
      <c r="A80" t="inlineStr">
        <is>
          <t>FOODS_1_184</t>
        </is>
      </c>
      <c r="B80" t="n">
        <v>2.808858247674085</v>
      </c>
      <c r="C80" t="n">
        <v>19.66200773371859</v>
      </c>
      <c r="D80" t="n">
        <v>20</v>
      </c>
      <c r="E80" s="15" t="n">
        <v>0</v>
      </c>
      <c r="F80">
        <f>C80+E80</f>
        <v/>
      </c>
      <c r="G80" t="n">
        <v>0</v>
      </c>
      <c r="H80" t="n">
        <v>58</v>
      </c>
      <c r="I80">
        <f>IF(H80=0,0,G80/H80)</f>
        <v/>
      </c>
      <c r="J80" t="n">
        <v>0</v>
      </c>
      <c r="K80" t="n">
        <v>3</v>
      </c>
      <c r="L80" t="n">
        <v>0</v>
      </c>
      <c r="M80" t="n">
        <v>14.41200773371861</v>
      </c>
      <c r="N80">
        <f>D80/2</f>
        <v/>
      </c>
      <c r="O80">
        <f>N80+E80</f>
        <v/>
      </c>
      <c r="P80">
        <f>I80&lt;0.05</f>
        <v/>
      </c>
    </row>
    <row r="81">
      <c r="A81" t="inlineStr">
        <is>
          <t>FOODS_1_187</t>
        </is>
      </c>
      <c r="B81" t="n">
        <v>2.150754708709283</v>
      </c>
      <c r="C81" t="n">
        <v>15.05528296096498</v>
      </c>
      <c r="D81" t="n">
        <v>16</v>
      </c>
      <c r="E81" s="15" t="n">
        <v>4</v>
      </c>
      <c r="F81">
        <f>C81+E81</f>
        <v/>
      </c>
      <c r="G81" t="n">
        <v>1.944717039035016</v>
      </c>
      <c r="H81" t="n">
        <v>51</v>
      </c>
      <c r="I81">
        <f>IF(H81=0,0,G81/H81)</f>
        <v/>
      </c>
      <c r="J81" t="n">
        <v>2</v>
      </c>
      <c r="K81" t="n">
        <v>4</v>
      </c>
      <c r="L81" t="n">
        <v>1</v>
      </c>
      <c r="M81" t="n">
        <v>15.29558624302946</v>
      </c>
      <c r="N81">
        <f>D81/2</f>
        <v/>
      </c>
      <c r="O81">
        <f>N81+E81</f>
        <v/>
      </c>
      <c r="P81">
        <f>I81&lt;0.05</f>
        <v/>
      </c>
    </row>
    <row r="82">
      <c r="A82" t="inlineStr">
        <is>
          <t>FOODS_1_192</t>
        </is>
      </c>
      <c r="B82" t="n">
        <v>0.6968835470121343</v>
      </c>
      <c r="C82" t="n">
        <v>4.87818482908494</v>
      </c>
      <c r="D82" t="n">
        <v>5</v>
      </c>
      <c r="E82" s="15" t="n">
        <v>13</v>
      </c>
      <c r="F82">
        <f>C82+E82</f>
        <v/>
      </c>
      <c r="G82" t="n">
        <v>2.12181517091506</v>
      </c>
      <c r="H82" t="n">
        <v>55</v>
      </c>
      <c r="I82">
        <f>IF(H82=0,0,G82/H82)</f>
        <v/>
      </c>
      <c r="J82" t="n">
        <v>1</v>
      </c>
      <c r="K82" t="n">
        <v>11</v>
      </c>
      <c r="L82" t="n">
        <v>1</v>
      </c>
      <c r="M82" t="n">
        <v>9.617663843113901</v>
      </c>
      <c r="N82">
        <f>D82/2</f>
        <v/>
      </c>
      <c r="O82">
        <f>N82+E82</f>
        <v/>
      </c>
      <c r="P82">
        <f>I82&lt;0.05</f>
        <v/>
      </c>
    </row>
    <row r="83">
      <c r="A83" t="inlineStr">
        <is>
          <t>FOODS_1_194</t>
        </is>
      </c>
      <c r="B83" t="n">
        <v>2.847839744053278</v>
      </c>
      <c r="C83" t="n">
        <v>19.93487820837295</v>
      </c>
      <c r="D83" t="n">
        <v>20</v>
      </c>
      <c r="E83" s="15" t="n">
        <v>7</v>
      </c>
      <c r="F83">
        <f>C83+E83</f>
        <v/>
      </c>
      <c r="G83" t="n">
        <v>3.06512179162705</v>
      </c>
      <c r="H83" t="n">
        <v>80</v>
      </c>
      <c r="I83">
        <f>IF(H83=0,0,G83/H83)</f>
        <v/>
      </c>
      <c r="J83" t="n">
        <v>2</v>
      </c>
      <c r="K83" t="n">
        <v>4</v>
      </c>
      <c r="L83" t="n">
        <v>1</v>
      </c>
      <c r="M83" t="n">
        <v>18.1436847544855</v>
      </c>
      <c r="N83">
        <f>D83/2</f>
        <v/>
      </c>
      <c r="O83">
        <f>N83+E83</f>
        <v/>
      </c>
      <c r="P83">
        <f>I83&lt;0.05</f>
        <v/>
      </c>
    </row>
    <row r="84">
      <c r="A84" t="inlineStr">
        <is>
          <t>FOODS_1_196</t>
        </is>
      </c>
      <c r="B84" t="n">
        <v>3.384707600158936</v>
      </c>
      <c r="C84" t="n">
        <v>23.69295320111255</v>
      </c>
      <c r="D84" t="n">
        <v>24</v>
      </c>
      <c r="E84" s="15" t="n">
        <v>0</v>
      </c>
      <c r="F84">
        <f>C84+E84</f>
        <v/>
      </c>
      <c r="G84" t="n">
        <v>1.307046798887452</v>
      </c>
      <c r="H84" t="n">
        <v>96</v>
      </c>
      <c r="I84">
        <f>IF(H84=0,0,G84/H84)</f>
        <v/>
      </c>
      <c r="J84" t="n">
        <v>2</v>
      </c>
      <c r="K84" t="n">
        <v>4</v>
      </c>
      <c r="L84" t="n">
        <v>2</v>
      </c>
      <c r="M84" t="n">
        <v>11.78601398623083</v>
      </c>
      <c r="N84">
        <f>D84/2</f>
        <v/>
      </c>
      <c r="O84">
        <f>N84+E84</f>
        <v/>
      </c>
      <c r="P84">
        <f>I84&lt;0.05</f>
        <v/>
      </c>
    </row>
    <row r="85">
      <c r="A85" t="inlineStr">
        <is>
          <t>FOODS_1_200</t>
        </is>
      </c>
      <c r="B85" t="n">
        <v>5.856026656866867</v>
      </c>
      <c r="C85" t="n">
        <v>40.99218659806807</v>
      </c>
      <c r="D85" t="n">
        <v>41</v>
      </c>
      <c r="E85" s="15" t="n">
        <v>6</v>
      </c>
      <c r="F85">
        <f>C85+E85</f>
        <v/>
      </c>
      <c r="G85" t="n">
        <v>7.007813401931934</v>
      </c>
      <c r="H85" t="n">
        <v>204</v>
      </c>
      <c r="I85">
        <f>IF(H85=0,0,G85/H85)</f>
        <v/>
      </c>
      <c r="J85" t="n">
        <v>2</v>
      </c>
      <c r="K85" t="n">
        <v>5</v>
      </c>
      <c r="L85" t="n">
        <v>2</v>
      </c>
      <c r="M85" t="n">
        <v>21.56975427101458</v>
      </c>
      <c r="N85">
        <f>D85/2</f>
        <v/>
      </c>
      <c r="O85">
        <f>N85+E85</f>
        <v/>
      </c>
      <c r="P85">
        <f>I85&lt;0.05</f>
        <v/>
      </c>
    </row>
    <row r="86">
      <c r="A86" t="inlineStr">
        <is>
          <t>FOODS_1_201</t>
        </is>
      </c>
      <c r="B86" t="n">
        <v>2.860989725097087</v>
      </c>
      <c r="C86" t="n">
        <v>20.02692807567961</v>
      </c>
      <c r="D86" t="n">
        <v>21</v>
      </c>
      <c r="E86" s="15" t="n">
        <v>0</v>
      </c>
      <c r="F86">
        <f>C86+E86</f>
        <v/>
      </c>
      <c r="G86" t="n">
        <v>0</v>
      </c>
      <c r="H86" t="n">
        <v>71</v>
      </c>
      <c r="I86">
        <f>IF(H86=0,0,G86/H86)</f>
        <v/>
      </c>
      <c r="J86" t="n">
        <v>0</v>
      </c>
      <c r="K86" t="n">
        <v>4</v>
      </c>
      <c r="L86" t="n">
        <v>0</v>
      </c>
      <c r="M86" t="n">
        <v>13.88407093282247</v>
      </c>
      <c r="N86">
        <f>D86/2</f>
        <v/>
      </c>
      <c r="O86">
        <f>N86+E86</f>
        <v/>
      </c>
      <c r="P86">
        <f>I86&lt;0.05</f>
        <v/>
      </c>
    </row>
    <row r="87">
      <c r="A87" t="inlineStr">
        <is>
          <t>FOODS_1_204</t>
        </is>
      </c>
      <c r="B87" t="n">
        <v>2.265102154438517</v>
      </c>
      <c r="C87" t="n">
        <v>15.85571508106962</v>
      </c>
      <c r="D87" t="n">
        <v>16</v>
      </c>
      <c r="E87" s="15" t="n">
        <v>4</v>
      </c>
      <c r="F87">
        <f>C87+E87</f>
        <v/>
      </c>
      <c r="G87" t="n">
        <v>3.144284918930381</v>
      </c>
      <c r="H87" t="n">
        <v>67</v>
      </c>
      <c r="I87">
        <f>IF(H87=0,0,G87/H87)</f>
        <v/>
      </c>
      <c r="J87" t="n">
        <v>2</v>
      </c>
      <c r="K87" t="n">
        <v>4</v>
      </c>
      <c r="L87" t="n">
        <v>1</v>
      </c>
      <c r="M87" t="n">
        <v>13.86158200192518</v>
      </c>
      <c r="N87">
        <f>D87/2</f>
        <v/>
      </c>
      <c r="O87">
        <f>N87+E87</f>
        <v/>
      </c>
      <c r="P87">
        <f>I87&lt;0.05</f>
        <v/>
      </c>
    </row>
    <row r="88">
      <c r="A88" t="inlineStr">
        <is>
          <t>FOODS_1_208</t>
        </is>
      </c>
      <c r="B88" t="n">
        <v>2.353404140151099</v>
      </c>
      <c r="C88" t="n">
        <v>16.4738289810577</v>
      </c>
      <c r="D88" t="n">
        <v>17</v>
      </c>
      <c r="E88" s="15" t="n">
        <v>0</v>
      </c>
      <c r="F88">
        <f>C88+E88</f>
        <v/>
      </c>
      <c r="G88" t="n">
        <v>0</v>
      </c>
      <c r="H88" t="n">
        <v>51</v>
      </c>
      <c r="I88">
        <f>IF(H88=0,0,G88/H88)</f>
        <v/>
      </c>
      <c r="J88" t="n">
        <v>0</v>
      </c>
      <c r="K88" t="n">
        <v>4</v>
      </c>
      <c r="L88" t="n">
        <v>0</v>
      </c>
      <c r="M88" t="n">
        <v>12.25954326677198</v>
      </c>
      <c r="N88">
        <f>D88/2</f>
        <v/>
      </c>
      <c r="O88">
        <f>N88+E88</f>
        <v/>
      </c>
      <c r="P88">
        <f>I88&lt;0.05</f>
        <v/>
      </c>
    </row>
    <row r="89">
      <c r="A89" t="inlineStr">
        <is>
          <t>FOODS_1_210</t>
        </is>
      </c>
      <c r="B89" t="n">
        <v>0.7330788003491308</v>
      </c>
      <c r="C89" t="n">
        <v>5.131551602443915</v>
      </c>
      <c r="D89" t="n">
        <v>6</v>
      </c>
      <c r="E89" s="15" t="n">
        <v>55</v>
      </c>
      <c r="F89">
        <f>C89+E89</f>
        <v/>
      </c>
      <c r="G89" t="n">
        <v>8.868448397556087</v>
      </c>
      <c r="H89" t="n">
        <v>193</v>
      </c>
      <c r="I89">
        <f>IF(H89=0,0,G89/H89)</f>
        <v/>
      </c>
      <c r="J89" t="n">
        <v>3</v>
      </c>
      <c r="K89" t="n">
        <v>19</v>
      </c>
      <c r="L89" t="n">
        <v>3</v>
      </c>
      <c r="M89" t="n">
        <v>22.33269700087282</v>
      </c>
      <c r="N89">
        <f>D89/2</f>
        <v/>
      </c>
      <c r="O89">
        <f>N89+E89</f>
        <v/>
      </c>
      <c r="P89">
        <f>I89&lt;0.05</f>
        <v/>
      </c>
    </row>
    <row r="90">
      <c r="A90" t="inlineStr">
        <is>
          <t>FOODS_1_215</t>
        </is>
      </c>
      <c r="B90" t="n">
        <v>5.041654860944765</v>
      </c>
      <c r="C90" t="n">
        <v>35.29158402661335</v>
      </c>
      <c r="D90" t="n">
        <v>36</v>
      </c>
      <c r="E90" s="15" t="n">
        <v>6</v>
      </c>
      <c r="F90">
        <f>C90+E90</f>
        <v/>
      </c>
      <c r="G90" t="n">
        <v>6.70841597338665</v>
      </c>
      <c r="H90" t="n">
        <v>135</v>
      </c>
      <c r="I90">
        <f>IF(H90=0,0,G90/H90)</f>
        <v/>
      </c>
      <c r="J90" t="n">
        <v>1</v>
      </c>
      <c r="K90" t="n">
        <v>4</v>
      </c>
      <c r="L90" t="n">
        <v>1</v>
      </c>
      <c r="M90" t="n">
        <v>32.95533943427429</v>
      </c>
      <c r="N90">
        <f>D90/2</f>
        <v/>
      </c>
      <c r="O90">
        <f>N90+E90</f>
        <v/>
      </c>
      <c r="P90">
        <f>I90&lt;0.05</f>
        <v/>
      </c>
    </row>
    <row r="91">
      <c r="A91" t="inlineStr">
        <is>
          <t>FOODS_1_217</t>
        </is>
      </c>
      <c r="B91" t="n">
        <v>8.022901617038354</v>
      </c>
      <c r="C91" t="n">
        <v>56.16031131926847</v>
      </c>
      <c r="D91" t="n">
        <v>57</v>
      </c>
      <c r="E91" s="15" t="n">
        <v>0</v>
      </c>
      <c r="F91">
        <f>C91+E91</f>
        <v/>
      </c>
      <c r="G91" t="n">
        <v>0</v>
      </c>
      <c r="H91" t="n">
        <v>189</v>
      </c>
      <c r="I91">
        <f>IF(H91=0,0,G91/H91)</f>
        <v/>
      </c>
      <c r="J91" t="n">
        <v>0</v>
      </c>
      <c r="K91" t="n">
        <v>4</v>
      </c>
      <c r="L91" t="n">
        <v>0</v>
      </c>
      <c r="M91" t="n">
        <v>34.0531684621256</v>
      </c>
      <c r="N91">
        <f>D91/2</f>
        <v/>
      </c>
      <c r="O91">
        <f>N91+E91</f>
        <v/>
      </c>
      <c r="P91">
        <f>I91&lt;0.05</f>
        <v/>
      </c>
    </row>
    <row r="92">
      <c r="A92" t="inlineStr">
        <is>
          <t>FOODS_1_218</t>
        </is>
      </c>
      <c r="B92" t="n">
        <v>9.572274751057538</v>
      </c>
      <c r="C92" t="n">
        <v>67.00592325740277</v>
      </c>
      <c r="D92" t="n">
        <v>68</v>
      </c>
      <c r="E92" s="15" t="n">
        <v>0</v>
      </c>
      <c r="F92">
        <f>C92+E92</f>
        <v/>
      </c>
      <c r="G92" t="n">
        <v>0</v>
      </c>
      <c r="H92" t="n">
        <v>227</v>
      </c>
      <c r="I92">
        <f>IF(H92=0,0,G92/H92)</f>
        <v/>
      </c>
      <c r="J92" t="n">
        <v>0</v>
      </c>
      <c r="K92" t="n">
        <v>4</v>
      </c>
      <c r="L92" t="n">
        <v>0</v>
      </c>
      <c r="M92" t="n">
        <v>40.79163754311704</v>
      </c>
      <c r="N92">
        <f>D92/2</f>
        <v/>
      </c>
      <c r="O92">
        <f>N92+E92</f>
        <v/>
      </c>
      <c r="P92">
        <f>I92&lt;0.05</f>
        <v/>
      </c>
    </row>
    <row r="93">
      <c r="A93" t="inlineStr">
        <is>
          <t>FOODS_1_219</t>
        </is>
      </c>
      <c r="B93" t="n">
        <v>3.667593960604913</v>
      </c>
      <c r="C93" t="n">
        <v>25.67315772423439</v>
      </c>
      <c r="D93" t="n">
        <v>26</v>
      </c>
      <c r="E93" s="15" t="n">
        <v>1</v>
      </c>
      <c r="F93">
        <f>C93+E93</f>
        <v/>
      </c>
      <c r="G93" t="n">
        <v>4.32684227576561</v>
      </c>
      <c r="H93" t="n">
        <v>107</v>
      </c>
      <c r="I93">
        <f>IF(H93=0,0,G93/H93)</f>
        <v/>
      </c>
      <c r="J93" t="n">
        <v>1</v>
      </c>
      <c r="K93" t="n">
        <v>4</v>
      </c>
      <c r="L93" t="n">
        <v>1</v>
      </c>
      <c r="M93" t="n">
        <v>14.18135331038617</v>
      </c>
      <c r="N93">
        <f>D93/2</f>
        <v/>
      </c>
      <c r="O93">
        <f>N93+E93</f>
        <v/>
      </c>
      <c r="P93">
        <f>I93&lt;0.05</f>
        <v/>
      </c>
    </row>
    <row r="94">
      <c r="A94" t="inlineStr">
        <is>
          <t>FOODS_2_003</t>
        </is>
      </c>
      <c r="B94" t="n">
        <v>1.757592733414986</v>
      </c>
      <c r="C94" t="n">
        <v>12.3031491339049</v>
      </c>
      <c r="D94" t="n">
        <v>13</v>
      </c>
      <c r="E94" s="15" t="n">
        <v>10</v>
      </c>
      <c r="F94">
        <f>C94+E94</f>
        <v/>
      </c>
      <c r="G94" t="n">
        <v>2.696850866095101</v>
      </c>
      <c r="H94" t="n">
        <v>71</v>
      </c>
      <c r="I94">
        <f>IF(H94=0,0,G94/H94)</f>
        <v/>
      </c>
      <c r="J94" t="n">
        <v>1</v>
      </c>
      <c r="K94" t="n">
        <v>6</v>
      </c>
      <c r="L94" t="n">
        <v>1</v>
      </c>
      <c r="M94" t="n">
        <v>11.24353195726533</v>
      </c>
      <c r="N94">
        <f>D94/2</f>
        <v/>
      </c>
      <c r="O94">
        <f>N94+E94</f>
        <v/>
      </c>
      <c r="P94">
        <f>I94&lt;0.05</f>
        <v/>
      </c>
    </row>
    <row r="95">
      <c r="A95" t="inlineStr">
        <is>
          <t>FOODS_2_009</t>
        </is>
      </c>
      <c r="B95" t="n">
        <v>1.656094057608316</v>
      </c>
      <c r="C95" t="n">
        <v>11.59265840325821</v>
      </c>
      <c r="D95" t="n">
        <v>12</v>
      </c>
      <c r="E95" s="15" t="n">
        <v>8</v>
      </c>
      <c r="F95">
        <f>C95+E95</f>
        <v/>
      </c>
      <c r="G95" t="n">
        <v>2.407341596741787</v>
      </c>
      <c r="H95" t="n">
        <v>58</v>
      </c>
      <c r="I95">
        <f>IF(H95=0,0,G95/H95)</f>
        <v/>
      </c>
      <c r="J95" t="n">
        <v>2</v>
      </c>
      <c r="K95" t="n">
        <v>4</v>
      </c>
      <c r="L95" t="n">
        <v>2</v>
      </c>
      <c r="M95" t="n">
        <v>11.30556965784105</v>
      </c>
      <c r="N95">
        <f>D95/2</f>
        <v/>
      </c>
      <c r="O95">
        <f>N95+E95</f>
        <v/>
      </c>
      <c r="P95">
        <f>I95&lt;0.05</f>
        <v/>
      </c>
    </row>
    <row r="96">
      <c r="A96" t="inlineStr">
        <is>
          <t>FOODS_2_013</t>
        </is>
      </c>
      <c r="B96" t="n">
        <v>2.953572972030283</v>
      </c>
      <c r="C96" t="n">
        <v>20.67501080421198</v>
      </c>
      <c r="D96" t="n">
        <v>21</v>
      </c>
      <c r="E96" s="15" t="n">
        <v>10</v>
      </c>
      <c r="F96">
        <f>C96+E96</f>
        <v/>
      </c>
      <c r="G96" t="n">
        <v>4.324989195788017</v>
      </c>
      <c r="H96" t="n">
        <v>106</v>
      </c>
      <c r="I96">
        <f>IF(H96=0,0,G96/H96)</f>
        <v/>
      </c>
      <c r="J96" t="n">
        <v>2</v>
      </c>
      <c r="K96" t="n">
        <v>5</v>
      </c>
      <c r="L96" t="n">
        <v>1</v>
      </c>
      <c r="M96" t="n">
        <v>15.86071891609085</v>
      </c>
      <c r="N96">
        <f>D96/2</f>
        <v/>
      </c>
      <c r="O96">
        <f>N96+E96</f>
        <v/>
      </c>
      <c r="P96">
        <f>I96&lt;0.05</f>
        <v/>
      </c>
    </row>
    <row r="97">
      <c r="A97" t="inlineStr">
        <is>
          <t>FOODS_2_016</t>
        </is>
      </c>
      <c r="B97" t="n">
        <v>5.076580271142966</v>
      </c>
      <c r="C97" t="n">
        <v>35.53606189800076</v>
      </c>
      <c r="D97" t="n">
        <v>36</v>
      </c>
      <c r="E97" s="15" t="n">
        <v>0</v>
      </c>
      <c r="F97">
        <f>C97+E97</f>
        <v/>
      </c>
      <c r="G97" t="n">
        <v>4.46393810199924</v>
      </c>
      <c r="H97" t="n">
        <v>119</v>
      </c>
      <c r="I97">
        <f>IF(H97=0,0,G97/H97)</f>
        <v/>
      </c>
      <c r="J97" t="n">
        <v>1</v>
      </c>
      <c r="K97" t="n">
        <v>4</v>
      </c>
      <c r="L97" t="n">
        <v>1</v>
      </c>
      <c r="M97" t="n">
        <v>24.18629897814302</v>
      </c>
      <c r="N97">
        <f>D97/2</f>
        <v/>
      </c>
      <c r="O97">
        <f>N97+E97</f>
        <v/>
      </c>
      <c r="P97">
        <f>I97&lt;0.05</f>
        <v/>
      </c>
    </row>
    <row r="98">
      <c r="A98" t="inlineStr">
        <is>
          <t>FOODS_2_019</t>
        </is>
      </c>
      <c r="B98" t="n">
        <v>8.900774379399625</v>
      </c>
      <c r="C98" t="n">
        <v>62.30542065579738</v>
      </c>
      <c r="D98" t="n">
        <v>63</v>
      </c>
      <c r="E98" s="15" t="n">
        <v>0</v>
      </c>
      <c r="F98">
        <f>C98+E98</f>
        <v/>
      </c>
      <c r="G98" t="n">
        <v>0</v>
      </c>
      <c r="H98" t="n">
        <v>202</v>
      </c>
      <c r="I98">
        <f>IF(H98=0,0,G98/H98)</f>
        <v/>
      </c>
      <c r="J98" t="n">
        <v>0</v>
      </c>
      <c r="K98" t="n">
        <v>4</v>
      </c>
      <c r="L98" t="n">
        <v>0</v>
      </c>
      <c r="M98" t="n">
        <v>45.44827779865454</v>
      </c>
      <c r="N98">
        <f>D98/2</f>
        <v/>
      </c>
      <c r="O98">
        <f>N98+E98</f>
        <v/>
      </c>
      <c r="P98">
        <f>I98&lt;0.05</f>
        <v/>
      </c>
    </row>
    <row r="99">
      <c r="A99" t="inlineStr">
        <is>
          <t>FOODS_2_021</t>
        </is>
      </c>
      <c r="B99" t="n">
        <v>5.814108455647459</v>
      </c>
      <c r="C99" t="n">
        <v>40.69875918953222</v>
      </c>
      <c r="D99" t="n">
        <v>41</v>
      </c>
      <c r="E99" s="15" t="n">
        <v>4</v>
      </c>
      <c r="F99">
        <f>C99+E99</f>
        <v/>
      </c>
      <c r="G99" t="n">
        <v>7.301240810467782</v>
      </c>
      <c r="H99" t="n">
        <v>154</v>
      </c>
      <c r="I99">
        <f>IF(H99=0,0,G99/H99)</f>
        <v/>
      </c>
      <c r="J99" t="n">
        <v>1</v>
      </c>
      <c r="K99" t="n">
        <v>4</v>
      </c>
      <c r="L99" t="n">
        <v>1</v>
      </c>
      <c r="M99" t="n">
        <v>29.70652245190896</v>
      </c>
      <c r="N99">
        <f>D99/2</f>
        <v/>
      </c>
      <c r="O99">
        <f>N99+E99</f>
        <v/>
      </c>
      <c r="P99">
        <f>I99&lt;0.05</f>
        <v/>
      </c>
    </row>
    <row r="100">
      <c r="A100" t="inlineStr">
        <is>
          <t>FOODS_2_024</t>
        </is>
      </c>
      <c r="B100" t="n">
        <v>3.198235290794528</v>
      </c>
      <c r="C100" t="n">
        <v>22.38764703556169</v>
      </c>
      <c r="D100" t="n">
        <v>23</v>
      </c>
      <c r="E100" s="15" t="n">
        <v>0</v>
      </c>
      <c r="F100">
        <f>C100+E100</f>
        <v/>
      </c>
      <c r="G100" t="n">
        <v>0</v>
      </c>
      <c r="H100" t="n">
        <v>75</v>
      </c>
      <c r="I100">
        <f>IF(H100=0,0,G100/H100)</f>
        <v/>
      </c>
      <c r="J100" t="n">
        <v>0</v>
      </c>
      <c r="K100" t="n">
        <v>4</v>
      </c>
      <c r="L100" t="n">
        <v>0</v>
      </c>
      <c r="M100" t="n">
        <v>16.74478989270456</v>
      </c>
      <c r="N100">
        <f>D100/2</f>
        <v/>
      </c>
      <c r="O100">
        <f>N100+E100</f>
        <v/>
      </c>
      <c r="P100">
        <f>I100&lt;0.05</f>
        <v/>
      </c>
    </row>
    <row r="101">
      <c r="A101" t="inlineStr">
        <is>
          <t>FOODS_2_025</t>
        </is>
      </c>
      <c r="B101" t="n">
        <v>2.835785594722964</v>
      </c>
      <c r="C101" t="n">
        <v>19.85049916306075</v>
      </c>
      <c r="D101" t="n">
        <v>20</v>
      </c>
      <c r="E101" s="15" t="n">
        <v>17</v>
      </c>
      <c r="F101">
        <f>C101+E101</f>
        <v/>
      </c>
      <c r="G101" t="n">
        <v>6.149500836939254</v>
      </c>
      <c r="H101" t="n">
        <v>138</v>
      </c>
      <c r="I101">
        <f>IF(H101=0,0,G101/H101)</f>
        <v/>
      </c>
      <c r="J101" t="n">
        <v>1</v>
      </c>
      <c r="K101" t="n">
        <v>7</v>
      </c>
      <c r="L101" t="n">
        <v>1</v>
      </c>
      <c r="M101" t="n">
        <v>14.03939267779873</v>
      </c>
      <c r="N101">
        <f>D101/2</f>
        <v/>
      </c>
      <c r="O101">
        <f>N101+E101</f>
        <v/>
      </c>
      <c r="P101">
        <f>I101&lt;0.05</f>
        <v/>
      </c>
    </row>
    <row r="102">
      <c r="A102" t="inlineStr">
        <is>
          <t>FOODS_2_026</t>
        </is>
      </c>
      <c r="B102" t="n">
        <v>1.732762842157026</v>
      </c>
      <c r="C102" t="n">
        <v>12.12933989509918</v>
      </c>
      <c r="D102" t="n">
        <v>13</v>
      </c>
      <c r="E102" s="15" t="n">
        <v>7</v>
      </c>
      <c r="F102">
        <f>C102+E102</f>
        <v/>
      </c>
      <c r="G102" t="n">
        <v>1.870660104900814</v>
      </c>
      <c r="H102" t="n">
        <v>71</v>
      </c>
      <c r="I102">
        <f>IF(H102=0,0,G102/H102)</f>
        <v/>
      </c>
      <c r="J102" t="n">
        <v>1</v>
      </c>
      <c r="K102" t="n">
        <v>6</v>
      </c>
      <c r="L102" t="n">
        <v>1</v>
      </c>
      <c r="M102" t="n">
        <v>8.956287120378397</v>
      </c>
      <c r="N102">
        <f>D102/2</f>
        <v/>
      </c>
      <c r="O102">
        <f>N102+E102</f>
        <v/>
      </c>
      <c r="P102">
        <f>I102&lt;0.05</f>
        <v/>
      </c>
    </row>
    <row r="103">
      <c r="A103" t="inlineStr">
        <is>
          <t>FOODS_2_029</t>
        </is>
      </c>
      <c r="B103" t="n">
        <v>7.136483428010872</v>
      </c>
      <c r="C103" t="n">
        <v>49.95538399607611</v>
      </c>
      <c r="D103" t="n">
        <v>50</v>
      </c>
      <c r="E103" s="15" t="n">
        <v>0</v>
      </c>
      <c r="F103">
        <f>C103+E103</f>
        <v/>
      </c>
      <c r="G103" t="n">
        <v>0</v>
      </c>
      <c r="H103" t="n">
        <v>183</v>
      </c>
      <c r="I103">
        <f>IF(H103=0,0,G103/H103)</f>
        <v/>
      </c>
      <c r="J103" t="n">
        <v>0</v>
      </c>
      <c r="K103" t="n">
        <v>4</v>
      </c>
      <c r="L103" t="n">
        <v>0</v>
      </c>
      <c r="M103" t="n">
        <v>25.84824113893323</v>
      </c>
      <c r="N103">
        <f>D103/2</f>
        <v/>
      </c>
      <c r="O103">
        <f>N103+E103</f>
        <v/>
      </c>
      <c r="P103">
        <f>I103&lt;0.05</f>
        <v/>
      </c>
    </row>
    <row r="104">
      <c r="A104" t="inlineStr">
        <is>
          <t>FOODS_2_033</t>
        </is>
      </c>
      <c r="B104" t="n">
        <v>6.775230287591731</v>
      </c>
      <c r="C104" t="n">
        <v>47.42661201314211</v>
      </c>
      <c r="D104" t="n">
        <v>48</v>
      </c>
      <c r="E104" s="15" t="n">
        <v>0</v>
      </c>
      <c r="F104">
        <f>C104+E104</f>
        <v/>
      </c>
      <c r="G104" t="n">
        <v>0.5733879868578882</v>
      </c>
      <c r="H104" t="n">
        <v>144</v>
      </c>
      <c r="I104">
        <f>IF(H104=0,0,G104/H104)</f>
        <v/>
      </c>
      <c r="J104" t="n">
        <v>1</v>
      </c>
      <c r="K104" t="n">
        <v>3</v>
      </c>
      <c r="L104" t="n">
        <v>1</v>
      </c>
      <c r="M104" t="n">
        <v>33.48427400281617</v>
      </c>
      <c r="N104">
        <f>D104/2</f>
        <v/>
      </c>
      <c r="O104">
        <f>N104+E104</f>
        <v/>
      </c>
      <c r="P104">
        <f>I104&lt;0.05</f>
        <v/>
      </c>
    </row>
    <row r="105">
      <c r="A105" t="inlineStr">
        <is>
          <t>FOODS_2_034</t>
        </is>
      </c>
      <c r="B105" t="n">
        <v>3.014168500782634</v>
      </c>
      <c r="C105" t="n">
        <v>21.09917950547844</v>
      </c>
      <c r="D105" t="n">
        <v>22</v>
      </c>
      <c r="E105" s="15" t="n">
        <v>0</v>
      </c>
      <c r="F105">
        <f>C105+E105</f>
        <v/>
      </c>
      <c r="G105" t="n">
        <v>0</v>
      </c>
      <c r="H105" t="n">
        <v>74</v>
      </c>
      <c r="I105">
        <f>IF(H105=0,0,G105/H105)</f>
        <v/>
      </c>
      <c r="J105" t="n">
        <v>0</v>
      </c>
      <c r="K105" t="n">
        <v>4</v>
      </c>
      <c r="L105" t="n">
        <v>0</v>
      </c>
      <c r="M105" t="n">
        <v>16.67060807690701</v>
      </c>
      <c r="N105">
        <f>D105/2</f>
        <v/>
      </c>
      <c r="O105">
        <f>N105+E105</f>
        <v/>
      </c>
      <c r="P105">
        <f>I105&lt;0.05</f>
        <v/>
      </c>
    </row>
    <row r="106">
      <c r="A106" t="inlineStr">
        <is>
          <t>FOODS_2_035</t>
        </is>
      </c>
      <c r="B106" t="n">
        <v>3.309633576068329</v>
      </c>
      <c r="C106" t="n">
        <v>23.1674350324783</v>
      </c>
      <c r="D106" t="n">
        <v>24</v>
      </c>
      <c r="E106" s="15" t="n">
        <v>1</v>
      </c>
      <c r="F106">
        <f>C106+E106</f>
        <v/>
      </c>
      <c r="G106" t="n">
        <v>3.832564967521698</v>
      </c>
      <c r="H106" t="n">
        <v>105</v>
      </c>
      <c r="I106">
        <f>IF(H106=0,0,G106/H106)</f>
        <v/>
      </c>
      <c r="J106" t="n">
        <v>2</v>
      </c>
      <c r="K106" t="n">
        <v>5</v>
      </c>
      <c r="L106" t="n">
        <v>1</v>
      </c>
      <c r="M106" t="n">
        <v>12.31561339865684</v>
      </c>
      <c r="N106">
        <f>D106/2</f>
        <v/>
      </c>
      <c r="O106">
        <f>N106+E106</f>
        <v/>
      </c>
      <c r="P106">
        <f>I106&lt;0.05</f>
        <v/>
      </c>
    </row>
    <row r="107">
      <c r="A107" t="inlineStr">
        <is>
          <t>FOODS_2_036</t>
        </is>
      </c>
      <c r="B107" t="n">
        <v>2.845967519067964</v>
      </c>
      <c r="C107" t="n">
        <v>19.92177263347575</v>
      </c>
      <c r="D107" t="n">
        <v>20</v>
      </c>
      <c r="E107" s="15" t="n">
        <v>8</v>
      </c>
      <c r="F107">
        <f>C107+E107</f>
        <v/>
      </c>
      <c r="G107" t="n">
        <v>4.078227366524253</v>
      </c>
      <c r="H107" t="n">
        <v>82</v>
      </c>
      <c r="I107">
        <f>IF(H107=0,0,G107/H107)</f>
        <v/>
      </c>
      <c r="J107" t="n">
        <v>2</v>
      </c>
      <c r="K107" t="n">
        <v>4</v>
      </c>
      <c r="L107" t="n">
        <v>1</v>
      </c>
      <c r="M107" t="n">
        <v>17.87888797026353</v>
      </c>
      <c r="N107">
        <f>D107/2</f>
        <v/>
      </c>
      <c r="O107">
        <f>N107+E107</f>
        <v/>
      </c>
      <c r="P107">
        <f>I107&lt;0.05</f>
        <v/>
      </c>
    </row>
    <row r="108">
      <c r="A108" t="inlineStr">
        <is>
          <t>FOODS_2_049</t>
        </is>
      </c>
      <c r="B108" t="n">
        <v>2.316328776671692</v>
      </c>
      <c r="C108" t="n">
        <v>16.21430143670185</v>
      </c>
      <c r="D108" t="n">
        <v>17</v>
      </c>
      <c r="E108" s="15" t="n">
        <v>0</v>
      </c>
      <c r="F108">
        <f>C108+E108</f>
        <v/>
      </c>
      <c r="G108" t="n">
        <v>0</v>
      </c>
      <c r="H108" t="n">
        <v>53</v>
      </c>
      <c r="I108">
        <f>IF(H108=0,0,G108/H108)</f>
        <v/>
      </c>
      <c r="J108" t="n">
        <v>0</v>
      </c>
      <c r="K108" t="n">
        <v>4</v>
      </c>
      <c r="L108" t="n">
        <v>0</v>
      </c>
      <c r="M108" t="n">
        <v>12.28573000813041</v>
      </c>
      <c r="N108">
        <f>D108/2</f>
        <v/>
      </c>
      <c r="O108">
        <f>N108+E108</f>
        <v/>
      </c>
      <c r="P108">
        <f>I108&lt;0.05</f>
        <v/>
      </c>
    </row>
    <row r="109">
      <c r="A109" t="inlineStr">
        <is>
          <t>FOODS_2_054</t>
        </is>
      </c>
      <c r="B109" t="n">
        <v>2.641170280774158</v>
      </c>
      <c r="C109" t="n">
        <v>18.48819196541911</v>
      </c>
      <c r="D109" t="n">
        <v>19</v>
      </c>
      <c r="E109" s="15" t="n">
        <v>0</v>
      </c>
      <c r="F109">
        <f>C109+E109</f>
        <v/>
      </c>
      <c r="G109" t="n">
        <v>0.5118080345808949</v>
      </c>
      <c r="H109" t="n">
        <v>74</v>
      </c>
      <c r="I109">
        <f>IF(H109=0,0,G109/H109)</f>
        <v/>
      </c>
      <c r="J109" t="n">
        <v>1</v>
      </c>
      <c r="K109" t="n">
        <v>4</v>
      </c>
      <c r="L109" t="n">
        <v>1</v>
      </c>
      <c r="M109" t="n">
        <v>9.172667411280981</v>
      </c>
      <c r="N109">
        <f>D109/2</f>
        <v/>
      </c>
      <c r="O109">
        <f>N109+E109</f>
        <v/>
      </c>
      <c r="P109">
        <f>I109&lt;0.05</f>
        <v/>
      </c>
    </row>
    <row r="110">
      <c r="A110" t="inlineStr">
        <is>
          <t>FOODS_2_055</t>
        </is>
      </c>
      <c r="B110" t="n">
        <v>1.712561312909289</v>
      </c>
      <c r="C110" t="n">
        <v>11.98792919036502</v>
      </c>
      <c r="D110" t="n">
        <v>12</v>
      </c>
      <c r="E110" s="15" t="n">
        <v>18</v>
      </c>
      <c r="F110">
        <f>C110+E110</f>
        <v/>
      </c>
      <c r="G110" t="n">
        <v>4.012070809634977</v>
      </c>
      <c r="H110" t="n">
        <v>90</v>
      </c>
      <c r="I110">
        <f>IF(H110=0,0,G110/H110)</f>
        <v/>
      </c>
      <c r="J110" t="n">
        <v>1</v>
      </c>
      <c r="K110" t="n">
        <v>8</v>
      </c>
      <c r="L110" t="n">
        <v>1</v>
      </c>
      <c r="M110" t="n">
        <v>16.77709227883217</v>
      </c>
      <c r="N110">
        <f>D110/2</f>
        <v/>
      </c>
      <c r="O110">
        <f>N110+E110</f>
        <v/>
      </c>
      <c r="P110">
        <f>I110&lt;0.05</f>
        <v/>
      </c>
    </row>
    <row r="111">
      <c r="A111" t="inlineStr">
        <is>
          <t>FOODS_2_056</t>
        </is>
      </c>
      <c r="B111" t="n">
        <v>3.050790260216184</v>
      </c>
      <c r="C111" t="n">
        <v>21.35553182151329</v>
      </c>
      <c r="D111" t="n">
        <v>22</v>
      </c>
      <c r="E111" s="15" t="n">
        <v>9</v>
      </c>
      <c r="F111">
        <f>C111+E111</f>
        <v/>
      </c>
      <c r="G111" t="n">
        <v>4.644468178486711</v>
      </c>
      <c r="H111" t="n">
        <v>110</v>
      </c>
      <c r="I111">
        <f>IF(H111=0,0,G111/H111)</f>
        <v/>
      </c>
      <c r="J111" t="n">
        <v>1</v>
      </c>
      <c r="K111" t="n">
        <v>5</v>
      </c>
      <c r="L111" t="n">
        <v>1</v>
      </c>
      <c r="M111" t="n">
        <v>15.40712759954426</v>
      </c>
      <c r="N111">
        <f>D111/2</f>
        <v/>
      </c>
      <c r="O111">
        <f>N111+E111</f>
        <v/>
      </c>
      <c r="P111">
        <f>I111&lt;0.05</f>
        <v/>
      </c>
    </row>
    <row r="112">
      <c r="A112" t="inlineStr">
        <is>
          <t>FOODS_2_059</t>
        </is>
      </c>
      <c r="B112" t="n">
        <v>5.469938835380804</v>
      </c>
      <c r="C112" t="n">
        <v>38.28957184766563</v>
      </c>
      <c r="D112" t="n">
        <v>39</v>
      </c>
      <c r="E112" s="15" t="n">
        <v>0</v>
      </c>
      <c r="F112">
        <f>C112+E112</f>
        <v/>
      </c>
      <c r="G112" t="n">
        <v>0</v>
      </c>
      <c r="H112" t="n">
        <v>148</v>
      </c>
      <c r="I112">
        <f>IF(H112=0,0,G112/H112)</f>
        <v/>
      </c>
      <c r="J112" t="n">
        <v>0</v>
      </c>
      <c r="K112" t="n">
        <v>4</v>
      </c>
      <c r="L112" t="n">
        <v>0</v>
      </c>
      <c r="M112" t="n">
        <v>22.75385756195135</v>
      </c>
      <c r="N112">
        <f>D112/2</f>
        <v/>
      </c>
      <c r="O112">
        <f>N112+E112</f>
        <v/>
      </c>
      <c r="P112">
        <f>I112&lt;0.05</f>
        <v/>
      </c>
    </row>
    <row r="113">
      <c r="A113" t="inlineStr">
        <is>
          <t>FOODS_2_061</t>
        </is>
      </c>
      <c r="B113" t="n">
        <v>2.750009046019214</v>
      </c>
      <c r="C113" t="n">
        <v>19.2500633221345</v>
      </c>
      <c r="D113" t="n">
        <v>20</v>
      </c>
      <c r="E113" s="15" t="n">
        <v>8</v>
      </c>
      <c r="F113">
        <f>C113+E113</f>
        <v/>
      </c>
      <c r="G113" t="n">
        <v>3.749936677865502</v>
      </c>
      <c r="H113" t="n">
        <v>105</v>
      </c>
      <c r="I113">
        <f>IF(H113=0,0,G113/H113)</f>
        <v/>
      </c>
      <c r="J113" t="n">
        <v>1</v>
      </c>
      <c r="K113" t="n">
        <v>6</v>
      </c>
      <c r="L113" t="n">
        <v>1</v>
      </c>
      <c r="M113" t="n">
        <v>12.69644214045739</v>
      </c>
      <c r="N113">
        <f>D113/2</f>
        <v/>
      </c>
      <c r="O113">
        <f>N113+E113</f>
        <v/>
      </c>
      <c r="P113">
        <f>I113&lt;0.05</f>
        <v/>
      </c>
    </row>
    <row r="114">
      <c r="A114" t="inlineStr">
        <is>
          <t>FOODS_2_063</t>
        </is>
      </c>
      <c r="B114" t="n">
        <v>2.190806335683134</v>
      </c>
      <c r="C114" t="n">
        <v>15.33564434978194</v>
      </c>
      <c r="D114" t="n">
        <v>16</v>
      </c>
      <c r="E114" s="15" t="n">
        <v>0</v>
      </c>
      <c r="F114">
        <f>C114+E114</f>
        <v/>
      </c>
      <c r="G114" t="n">
        <v>0</v>
      </c>
      <c r="H114" t="n">
        <v>56</v>
      </c>
      <c r="I114">
        <f>IF(H114=0,0,G114/H114)</f>
        <v/>
      </c>
      <c r="J114" t="n">
        <v>0</v>
      </c>
      <c r="K114" t="n">
        <v>4</v>
      </c>
      <c r="L114" t="n">
        <v>0</v>
      </c>
      <c r="M114" t="n">
        <v>10.12135863549623</v>
      </c>
      <c r="N114">
        <f>D114/2</f>
        <v/>
      </c>
      <c r="O114">
        <f>N114+E114</f>
        <v/>
      </c>
      <c r="P114">
        <f>I114&lt;0.05</f>
        <v/>
      </c>
    </row>
    <row r="115">
      <c r="A115" t="inlineStr">
        <is>
          <t>FOODS_2_074</t>
        </is>
      </c>
      <c r="B115" t="n">
        <v>2.456501743993345</v>
      </c>
      <c r="C115" t="n">
        <v>17.19551220795341</v>
      </c>
      <c r="D115" t="n">
        <v>18</v>
      </c>
      <c r="E115" s="15" t="n">
        <v>8</v>
      </c>
      <c r="F115">
        <f>C115+E115</f>
        <v/>
      </c>
      <c r="G115" t="n">
        <v>4.804487792046586</v>
      </c>
      <c r="H115" t="n">
        <v>97</v>
      </c>
      <c r="I115">
        <f>IF(H115=0,0,G115/H115)</f>
        <v/>
      </c>
      <c r="J115" t="n">
        <v>2</v>
      </c>
      <c r="K115" t="n">
        <v>6</v>
      </c>
      <c r="L115" t="n">
        <v>2</v>
      </c>
      <c r="M115" t="n">
        <v>12.40521951769432</v>
      </c>
      <c r="N115">
        <f>D115/2</f>
        <v/>
      </c>
      <c r="O115">
        <f>N115+E115</f>
        <v/>
      </c>
      <c r="P115">
        <f>I115&lt;0.05</f>
        <v/>
      </c>
    </row>
    <row r="116">
      <c r="A116" t="inlineStr">
        <is>
          <t>FOODS_2_075</t>
        </is>
      </c>
      <c r="B116" t="n">
        <v>5.203553183340655</v>
      </c>
      <c r="C116" t="n">
        <v>36.42487228338459</v>
      </c>
      <c r="D116" t="n">
        <v>37</v>
      </c>
      <c r="E116" s="15" t="n">
        <v>1</v>
      </c>
      <c r="F116">
        <f>C116+E116</f>
        <v/>
      </c>
      <c r="G116" t="n">
        <v>4.575127716615413</v>
      </c>
      <c r="H116" t="n">
        <v>161</v>
      </c>
      <c r="I116">
        <f>IF(H116=0,0,G116/H116)</f>
        <v/>
      </c>
      <c r="J116" t="n">
        <v>1</v>
      </c>
      <c r="K116" t="n">
        <v>5</v>
      </c>
      <c r="L116" t="n">
        <v>1</v>
      </c>
      <c r="M116" t="n">
        <v>16.73390120358241</v>
      </c>
      <c r="N116">
        <f>D116/2</f>
        <v/>
      </c>
      <c r="O116">
        <f>N116+E116</f>
        <v/>
      </c>
      <c r="P116">
        <f>I116&lt;0.05</f>
        <v/>
      </c>
    </row>
    <row r="117">
      <c r="A117" t="inlineStr">
        <is>
          <t>FOODS_2_078</t>
        </is>
      </c>
      <c r="B117" t="n">
        <v>2.684700645666564</v>
      </c>
      <c r="C117" t="n">
        <v>18.79290451966595</v>
      </c>
      <c r="D117" t="n">
        <v>19</v>
      </c>
      <c r="E117" s="15" t="n">
        <v>0</v>
      </c>
      <c r="F117">
        <f>C117+E117</f>
        <v/>
      </c>
      <c r="G117" t="n">
        <v>3.207095480334051</v>
      </c>
      <c r="H117" t="n">
        <v>79</v>
      </c>
      <c r="I117">
        <f>IF(H117=0,0,G117/H117)</f>
        <v/>
      </c>
      <c r="J117" t="n">
        <v>2</v>
      </c>
      <c r="K117" t="n">
        <v>4</v>
      </c>
      <c r="L117" t="n">
        <v>2</v>
      </c>
      <c r="M117" t="n">
        <v>8.610737974118688</v>
      </c>
      <c r="N117">
        <f>D117/2</f>
        <v/>
      </c>
      <c r="O117">
        <f>N117+E117</f>
        <v/>
      </c>
      <c r="P117">
        <f>I117&lt;0.05</f>
        <v/>
      </c>
    </row>
    <row r="118">
      <c r="A118" t="inlineStr">
        <is>
          <t>FOODS_2_079</t>
        </is>
      </c>
      <c r="B118" t="n">
        <v>2.700120070802842</v>
      </c>
      <c r="C118" t="n">
        <v>18.9008404956199</v>
      </c>
      <c r="D118" t="n">
        <v>19</v>
      </c>
      <c r="E118" s="15" t="n">
        <v>9</v>
      </c>
      <c r="F118">
        <f>C118+E118</f>
        <v/>
      </c>
      <c r="G118" t="n">
        <v>5.099159504380104</v>
      </c>
      <c r="H118" t="n">
        <v>114</v>
      </c>
      <c r="I118">
        <f>IF(H118=0,0,G118/H118)</f>
        <v/>
      </c>
      <c r="J118" t="n">
        <v>3</v>
      </c>
      <c r="K118" t="n">
        <v>6</v>
      </c>
      <c r="L118" t="n">
        <v>2</v>
      </c>
      <c r="M118" t="n">
        <v>10.88607449812281</v>
      </c>
      <c r="N118">
        <f>D118/2</f>
        <v/>
      </c>
      <c r="O118">
        <f>N118+E118</f>
        <v/>
      </c>
      <c r="P118">
        <f>I118&lt;0.05</f>
        <v/>
      </c>
    </row>
    <row r="119">
      <c r="A119" t="inlineStr">
        <is>
          <t>FOODS_2_080</t>
        </is>
      </c>
      <c r="B119" t="n">
        <v>0.6961378674652041</v>
      </c>
      <c r="C119" t="n">
        <v>4.872965072256429</v>
      </c>
      <c r="D119" t="n">
        <v>5</v>
      </c>
      <c r="E119" s="15" t="n">
        <v>24</v>
      </c>
      <c r="F119">
        <f>C119+E119</f>
        <v/>
      </c>
      <c r="G119" t="n">
        <v>3.127034927743573</v>
      </c>
      <c r="H119" t="n">
        <v>69</v>
      </c>
      <c r="I119">
        <f>IF(H119=0,0,G119/H119)</f>
        <v/>
      </c>
      <c r="J119" t="n">
        <v>2</v>
      </c>
      <c r="K119" t="n">
        <v>12</v>
      </c>
      <c r="L119" t="n">
        <v>2</v>
      </c>
      <c r="M119" t="n">
        <v>18.27547754645056</v>
      </c>
      <c r="N119">
        <f>D119/2</f>
        <v/>
      </c>
      <c r="O119">
        <f>N119+E119</f>
        <v/>
      </c>
      <c r="P119">
        <f>I119&lt;0.05</f>
        <v/>
      </c>
    </row>
    <row r="120">
      <c r="A120" t="inlineStr">
        <is>
          <t>FOODS_2_081</t>
        </is>
      </c>
      <c r="B120" t="n">
        <v>1.9492916923591</v>
      </c>
      <c r="C120" t="n">
        <v>13.6450418465137</v>
      </c>
      <c r="D120" t="n">
        <v>14</v>
      </c>
      <c r="E120" s="15" t="n">
        <v>6</v>
      </c>
      <c r="F120">
        <f>C120+E120</f>
        <v/>
      </c>
      <c r="G120" t="n">
        <v>2.354958153486301</v>
      </c>
      <c r="H120" t="n">
        <v>61</v>
      </c>
      <c r="I120">
        <f>IF(H120=0,0,G120/H120)</f>
        <v/>
      </c>
      <c r="J120" t="n">
        <v>1</v>
      </c>
      <c r="K120" t="n">
        <v>5</v>
      </c>
      <c r="L120" t="n">
        <v>1</v>
      </c>
      <c r="M120" t="n">
        <v>11.42393753853865</v>
      </c>
      <c r="N120">
        <f>D120/2</f>
        <v/>
      </c>
      <c r="O120">
        <f>N120+E120</f>
        <v/>
      </c>
      <c r="P120">
        <f>I120&lt;0.05</f>
        <v/>
      </c>
    </row>
    <row r="121">
      <c r="A121" t="inlineStr">
        <is>
          <t>FOODS_2_082</t>
        </is>
      </c>
      <c r="B121" t="n">
        <v>3.335579896833353</v>
      </c>
      <c r="C121" t="n">
        <v>23.34905927783347</v>
      </c>
      <c r="D121" t="n">
        <v>24</v>
      </c>
      <c r="E121" s="15" t="n">
        <v>1</v>
      </c>
      <c r="F121">
        <f>C121+E121</f>
        <v/>
      </c>
      <c r="G121" t="n">
        <v>3.650940722166528</v>
      </c>
      <c r="H121" t="n">
        <v>94</v>
      </c>
      <c r="I121">
        <f>IF(H121=0,0,G121/H121)</f>
        <v/>
      </c>
      <c r="J121" t="n">
        <v>2</v>
      </c>
      <c r="K121" t="n">
        <v>4</v>
      </c>
      <c r="L121" t="n">
        <v>2</v>
      </c>
      <c r="M121" t="n">
        <v>13.78908413096432</v>
      </c>
      <c r="N121">
        <f>D121/2</f>
        <v/>
      </c>
      <c r="O121">
        <f>N121+E121</f>
        <v/>
      </c>
      <c r="P121">
        <f>I121&lt;0.05</f>
        <v/>
      </c>
    </row>
    <row r="122">
      <c r="A122" t="inlineStr">
        <is>
          <t>FOODS_2_086</t>
        </is>
      </c>
      <c r="B122" t="n">
        <v>4.234376203679325</v>
      </c>
      <c r="C122" t="n">
        <v>29.64063342575528</v>
      </c>
      <c r="D122" t="n">
        <v>30</v>
      </c>
      <c r="E122" s="15" t="n">
        <v>0</v>
      </c>
      <c r="F122">
        <f>C122+E122</f>
        <v/>
      </c>
      <c r="G122" t="n">
        <v>0</v>
      </c>
      <c r="H122" t="n">
        <v>98</v>
      </c>
      <c r="I122">
        <f>IF(H122=0,0,G122/H122)</f>
        <v/>
      </c>
      <c r="J122" t="n">
        <v>0</v>
      </c>
      <c r="K122" t="n">
        <v>4</v>
      </c>
      <c r="L122" t="n">
        <v>0</v>
      </c>
      <c r="M122" t="n">
        <v>21.49777628289813</v>
      </c>
      <c r="N122">
        <f>D122/2</f>
        <v/>
      </c>
      <c r="O122">
        <f>N122+E122</f>
        <v/>
      </c>
      <c r="P122">
        <f>I122&lt;0.05</f>
        <v/>
      </c>
    </row>
    <row r="123">
      <c r="A123" t="inlineStr">
        <is>
          <t>FOODS_2_101</t>
        </is>
      </c>
      <c r="B123" t="n">
        <v>3.543260401944458</v>
      </c>
      <c r="C123" t="n">
        <v>24.80282281361121</v>
      </c>
      <c r="D123" t="n">
        <v>25</v>
      </c>
      <c r="E123" s="15" t="n">
        <v>2</v>
      </c>
      <c r="F123">
        <f>C123+E123</f>
        <v/>
      </c>
      <c r="G123" t="n">
        <v>4.197177186388792</v>
      </c>
      <c r="H123" t="n">
        <v>107</v>
      </c>
      <c r="I123">
        <f>IF(H123=0,0,G123/H123)</f>
        <v/>
      </c>
      <c r="J123" t="n">
        <v>1</v>
      </c>
      <c r="K123" t="n">
        <v>5</v>
      </c>
      <c r="L123" t="n">
        <v>1</v>
      </c>
      <c r="M123" t="n">
        <v>14.0291763172024</v>
      </c>
      <c r="N123">
        <f>D123/2</f>
        <v/>
      </c>
      <c r="O123">
        <f>N123+E123</f>
        <v/>
      </c>
      <c r="P123">
        <f>I123&lt;0.05</f>
        <v/>
      </c>
    </row>
    <row r="124">
      <c r="A124" t="inlineStr">
        <is>
          <t>FOODS_2_112</t>
        </is>
      </c>
      <c r="B124" t="n">
        <v>2.724239942411775</v>
      </c>
      <c r="C124" t="n">
        <v>19.06967959688243</v>
      </c>
      <c r="D124" t="n">
        <v>20</v>
      </c>
      <c r="E124" s="15" t="n">
        <v>1</v>
      </c>
      <c r="F124">
        <f>C124+E124</f>
        <v/>
      </c>
      <c r="G124" t="n">
        <v>2.930320403117573</v>
      </c>
      <c r="H124" t="n">
        <v>72</v>
      </c>
      <c r="I124">
        <f>IF(H124=0,0,G124/H124)</f>
        <v/>
      </c>
      <c r="J124" t="n">
        <v>2</v>
      </c>
      <c r="K124" t="n">
        <v>4</v>
      </c>
      <c r="L124" t="n">
        <v>1</v>
      </c>
      <c r="M124" t="n">
        <v>13.96341122701264</v>
      </c>
      <c r="N124">
        <f>D124/2</f>
        <v/>
      </c>
      <c r="O124">
        <f>N124+E124</f>
        <v/>
      </c>
      <c r="P124">
        <f>I124&lt;0.05</f>
        <v/>
      </c>
    </row>
    <row r="125">
      <c r="A125" t="inlineStr">
        <is>
          <t>FOODS_2_115</t>
        </is>
      </c>
      <c r="B125" t="n">
        <v>4.205239267785793</v>
      </c>
      <c r="C125" t="n">
        <v>29.43667487450055</v>
      </c>
      <c r="D125" t="n">
        <v>30</v>
      </c>
      <c r="E125" s="15" t="n">
        <v>13</v>
      </c>
      <c r="F125">
        <f>C125+E125</f>
        <v/>
      </c>
      <c r="G125" t="n">
        <v>7.563325125499446</v>
      </c>
      <c r="H125" t="n">
        <v>164</v>
      </c>
      <c r="I125">
        <f>IF(H125=0,0,G125/H125)</f>
        <v/>
      </c>
      <c r="J125" t="n">
        <v>1</v>
      </c>
      <c r="K125" t="n">
        <v>6</v>
      </c>
      <c r="L125" t="n">
        <v>1</v>
      </c>
      <c r="M125" t="n">
        <v>17.5352427854289</v>
      </c>
      <c r="N125">
        <f>D125/2</f>
        <v/>
      </c>
      <c r="O125">
        <f>N125+E125</f>
        <v/>
      </c>
      <c r="P125">
        <f>I125&lt;0.05</f>
        <v/>
      </c>
    </row>
    <row r="126">
      <c r="A126" t="inlineStr">
        <is>
          <t>FOODS_2_119</t>
        </is>
      </c>
      <c r="B126" t="n">
        <v>3.086039789806335</v>
      </c>
      <c r="C126" t="n">
        <v>21.60227852864435</v>
      </c>
      <c r="D126" t="n">
        <v>22</v>
      </c>
      <c r="E126" s="15" t="n">
        <v>0</v>
      </c>
      <c r="F126">
        <f>C126+E126</f>
        <v/>
      </c>
      <c r="G126" t="n">
        <v>2.397721471355652</v>
      </c>
      <c r="H126" t="n">
        <v>90</v>
      </c>
      <c r="I126">
        <f>IF(H126=0,0,G126/H126)</f>
        <v/>
      </c>
      <c r="J126" t="n">
        <v>1</v>
      </c>
      <c r="K126" t="n">
        <v>4</v>
      </c>
      <c r="L126" t="n">
        <v>1</v>
      </c>
      <c r="M126" t="n">
        <v>11.33076858119276</v>
      </c>
      <c r="N126">
        <f>D126/2</f>
        <v/>
      </c>
      <c r="O126">
        <f>N126+E126</f>
        <v/>
      </c>
      <c r="P126">
        <f>I126&lt;0.05</f>
        <v/>
      </c>
    </row>
    <row r="127">
      <c r="A127" t="inlineStr">
        <is>
          <t>FOODS_2_128</t>
        </is>
      </c>
      <c r="B127" t="n">
        <v>5.21429882745708</v>
      </c>
      <c r="C127" t="n">
        <v>36.50009179219956</v>
      </c>
      <c r="D127" t="n">
        <v>37</v>
      </c>
      <c r="E127" s="15" t="n">
        <v>39</v>
      </c>
      <c r="F127">
        <f>C127+E127</f>
        <v/>
      </c>
      <c r="G127" t="n">
        <v>12.49990820780044</v>
      </c>
      <c r="H127" t="n">
        <v>264</v>
      </c>
      <c r="I127">
        <f>IF(H127=0,0,G127/H127)</f>
        <v/>
      </c>
      <c r="J127" t="n">
        <v>2</v>
      </c>
      <c r="K127" t="n">
        <v>7</v>
      </c>
      <c r="L127" t="n">
        <v>1</v>
      </c>
      <c r="M127" t="n">
        <v>33.17861732467121</v>
      </c>
      <c r="N127">
        <f>D127/2</f>
        <v/>
      </c>
      <c r="O127">
        <f>N127+E127</f>
        <v/>
      </c>
      <c r="P127">
        <f>I127&lt;0.05</f>
        <v/>
      </c>
    </row>
    <row r="128">
      <c r="A128" t="inlineStr">
        <is>
          <t>FOODS_2_131</t>
        </is>
      </c>
      <c r="B128" t="n">
        <v>5.34974862407286</v>
      </c>
      <c r="C128" t="n">
        <v>37.44824036851002</v>
      </c>
      <c r="D128" t="n">
        <v>38</v>
      </c>
      <c r="E128" s="15" t="n">
        <v>0</v>
      </c>
      <c r="F128">
        <f>C128+E128</f>
        <v/>
      </c>
      <c r="G128" t="n">
        <v>0.5517596314899791</v>
      </c>
      <c r="H128" t="n">
        <v>138</v>
      </c>
      <c r="I128">
        <f>IF(H128=0,0,G128/H128)</f>
        <v/>
      </c>
      <c r="J128" t="n">
        <v>1</v>
      </c>
      <c r="K128" t="n">
        <v>4</v>
      </c>
      <c r="L128" t="n">
        <v>1</v>
      </c>
      <c r="M128" t="n">
        <v>18.70811159966537</v>
      </c>
      <c r="N128">
        <f>D128/2</f>
        <v/>
      </c>
      <c r="O128">
        <f>N128+E128</f>
        <v/>
      </c>
      <c r="P128">
        <f>I128&lt;0.05</f>
        <v/>
      </c>
    </row>
    <row r="129">
      <c r="A129" t="inlineStr">
        <is>
          <t>FOODS_2_137</t>
        </is>
      </c>
      <c r="B129" t="n">
        <v>1.757972066179853</v>
      </c>
      <c r="C129" t="n">
        <v>12.30580446325897</v>
      </c>
      <c r="D129" t="n">
        <v>13</v>
      </c>
      <c r="E129" s="15" t="n">
        <v>5</v>
      </c>
      <c r="F129">
        <f>C129+E129</f>
        <v/>
      </c>
      <c r="G129" t="n">
        <v>2.694195536741027</v>
      </c>
      <c r="H129" t="n">
        <v>56</v>
      </c>
      <c r="I129">
        <f>IF(H129=0,0,G129/H129)</f>
        <v/>
      </c>
      <c r="J129" t="n">
        <v>1</v>
      </c>
      <c r="K129" t="n">
        <v>5</v>
      </c>
      <c r="L129" t="n">
        <v>1</v>
      </c>
      <c r="M129" t="n">
        <v>11.31552952784121</v>
      </c>
      <c r="N129">
        <f>D129/2</f>
        <v/>
      </c>
      <c r="O129">
        <f>N129+E129</f>
        <v/>
      </c>
      <c r="P129">
        <f>I129&lt;0.05</f>
        <v/>
      </c>
    </row>
    <row r="130">
      <c r="A130" t="inlineStr">
        <is>
          <t>FOODS_2_139</t>
        </is>
      </c>
      <c r="B130" t="n">
        <v>2.672941123487244</v>
      </c>
      <c r="C130" t="n">
        <v>18.71058786441071</v>
      </c>
      <c r="D130" t="n">
        <v>19</v>
      </c>
      <c r="E130" s="15" t="n">
        <v>0</v>
      </c>
      <c r="F130">
        <f>C130+E130</f>
        <v/>
      </c>
      <c r="G130" t="n">
        <v>1.289412135589295</v>
      </c>
      <c r="H130" t="n">
        <v>51</v>
      </c>
      <c r="I130">
        <f>IF(H130=0,0,G130/H130)</f>
        <v/>
      </c>
      <c r="J130" t="n">
        <v>2</v>
      </c>
      <c r="K130" t="n">
        <v>3</v>
      </c>
      <c r="L130" t="n">
        <v>1</v>
      </c>
      <c r="M130" t="n">
        <v>14.05546211864477</v>
      </c>
      <c r="N130">
        <f>D130/2</f>
        <v/>
      </c>
      <c r="O130">
        <f>N130+E130</f>
        <v/>
      </c>
      <c r="P130">
        <f>I130&lt;0.05</f>
        <v/>
      </c>
    </row>
    <row r="131">
      <c r="A131" t="inlineStr">
        <is>
          <t>FOODS_2_140</t>
        </is>
      </c>
      <c r="B131" t="n">
        <v>2.012416572582772</v>
      </c>
      <c r="C131" t="n">
        <v>14.08691600807941</v>
      </c>
      <c r="D131" t="n">
        <v>15</v>
      </c>
      <c r="E131" s="15" t="n">
        <v>0</v>
      </c>
      <c r="F131">
        <f>C131+E131</f>
        <v/>
      </c>
      <c r="G131" t="n">
        <v>0</v>
      </c>
      <c r="H131" t="n">
        <v>50</v>
      </c>
      <c r="I131">
        <f>IF(H131=0,0,G131/H131)</f>
        <v/>
      </c>
      <c r="J131" t="n">
        <v>0</v>
      </c>
      <c r="K131" t="n">
        <v>4</v>
      </c>
      <c r="L131" t="n">
        <v>0</v>
      </c>
      <c r="M131" t="n">
        <v>9.622630293793696</v>
      </c>
      <c r="N131">
        <f>D131/2</f>
        <v/>
      </c>
      <c r="O131">
        <f>N131+E131</f>
        <v/>
      </c>
      <c r="P131">
        <f>I131&lt;0.05</f>
        <v/>
      </c>
    </row>
    <row r="132">
      <c r="A132" t="inlineStr">
        <is>
          <t>FOODS_2_144</t>
        </is>
      </c>
      <c r="B132" t="n">
        <v>1.748983605461129</v>
      </c>
      <c r="C132" t="n">
        <v>12.24288523822791</v>
      </c>
      <c r="D132" t="n">
        <v>13</v>
      </c>
      <c r="E132" s="15" t="n">
        <v>6</v>
      </c>
      <c r="F132">
        <f>C132+E132</f>
        <v/>
      </c>
      <c r="G132" t="n">
        <v>1.757114761772094</v>
      </c>
      <c r="H132" t="n">
        <v>52</v>
      </c>
      <c r="I132">
        <f>IF(H132=0,0,G132/H132)</f>
        <v/>
      </c>
      <c r="J132" t="n">
        <v>1</v>
      </c>
      <c r="K132" t="n">
        <v>4</v>
      </c>
      <c r="L132" t="n">
        <v>1</v>
      </c>
      <c r="M132" t="n">
        <v>12.6551241157505</v>
      </c>
      <c r="N132">
        <f>D132/2</f>
        <v/>
      </c>
      <c r="O132">
        <f>N132+E132</f>
        <v/>
      </c>
      <c r="P132">
        <f>I132&lt;0.05</f>
        <v/>
      </c>
    </row>
    <row r="133">
      <c r="A133" t="inlineStr">
        <is>
          <t>FOODS_2_145</t>
        </is>
      </c>
      <c r="B133" t="n">
        <v>3.628370607350664</v>
      </c>
      <c r="C133" t="n">
        <v>25.39859425145465</v>
      </c>
      <c r="D133" t="n">
        <v>26</v>
      </c>
      <c r="E133" s="15" t="n">
        <v>15</v>
      </c>
      <c r="F133">
        <f>C133+E133</f>
        <v/>
      </c>
      <c r="G133" t="n">
        <v>4.601405748545346</v>
      </c>
      <c r="H133" t="n">
        <v>110</v>
      </c>
      <c r="I133">
        <f>IF(H133=0,0,G133/H133)</f>
        <v/>
      </c>
      <c r="J133" t="n">
        <v>1</v>
      </c>
      <c r="K133" t="n">
        <v>5</v>
      </c>
      <c r="L133" t="n">
        <v>1</v>
      </c>
      <c r="M133" t="n">
        <v>24.59939753633771</v>
      </c>
      <c r="N133">
        <f>D133/2</f>
        <v/>
      </c>
      <c r="O133">
        <f>N133+E133</f>
        <v/>
      </c>
      <c r="P133">
        <f>I133&lt;0.05</f>
        <v/>
      </c>
    </row>
    <row r="134">
      <c r="A134" t="inlineStr">
        <is>
          <t>FOODS_2_150</t>
        </is>
      </c>
      <c r="B134" t="n">
        <v>1.665618012845355</v>
      </c>
      <c r="C134" t="n">
        <v>11.65932608991749</v>
      </c>
      <c r="D134" t="n">
        <v>12</v>
      </c>
      <c r="E134" s="15" t="n">
        <v>3</v>
      </c>
      <c r="F134">
        <f>C134+E134</f>
        <v/>
      </c>
      <c r="G134" t="n">
        <v>0</v>
      </c>
      <c r="H134" t="n">
        <v>51</v>
      </c>
      <c r="I134">
        <f>IF(H134=0,0,G134/H134)</f>
        <v/>
      </c>
      <c r="J134" t="n">
        <v>0</v>
      </c>
      <c r="K134" t="n">
        <v>5</v>
      </c>
      <c r="L134" t="n">
        <v>0</v>
      </c>
      <c r="M134" t="n">
        <v>7.730754661346061</v>
      </c>
      <c r="N134">
        <f>D134/2</f>
        <v/>
      </c>
      <c r="O134">
        <f>N134+E134</f>
        <v/>
      </c>
      <c r="P134">
        <f>I134&lt;0.05</f>
        <v/>
      </c>
    </row>
    <row r="135">
      <c r="A135" t="inlineStr">
        <is>
          <t>FOODS_2_152</t>
        </is>
      </c>
      <c r="B135" t="n">
        <v>4.008683497884647</v>
      </c>
      <c r="C135" t="n">
        <v>28.06078448519253</v>
      </c>
      <c r="D135" t="n">
        <v>29</v>
      </c>
      <c r="E135" s="15" t="n">
        <v>1</v>
      </c>
      <c r="F135">
        <f>C135+E135</f>
        <v/>
      </c>
      <c r="G135" t="n">
        <v>2.939215514807472</v>
      </c>
      <c r="H135" t="n">
        <v>127</v>
      </c>
      <c r="I135">
        <f>IF(H135=0,0,G135/H135)</f>
        <v/>
      </c>
      <c r="J135" t="n">
        <v>2</v>
      </c>
      <c r="K135" t="n">
        <v>5</v>
      </c>
      <c r="L135" t="n">
        <v>1</v>
      </c>
      <c r="M135" t="n">
        <v>14.75553232923779</v>
      </c>
      <c r="N135">
        <f>D135/2</f>
        <v/>
      </c>
      <c r="O135">
        <f>N135+E135</f>
        <v/>
      </c>
      <c r="P135">
        <f>I135&lt;0.05</f>
        <v/>
      </c>
    </row>
    <row r="136">
      <c r="A136" t="inlineStr">
        <is>
          <t>FOODS_2_162</t>
        </is>
      </c>
      <c r="B136" t="n">
        <v>1.632576102493565</v>
      </c>
      <c r="C136" t="n">
        <v>11.42803271745496</v>
      </c>
      <c r="D136" t="n">
        <v>12</v>
      </c>
      <c r="E136" s="15" t="n">
        <v>3</v>
      </c>
      <c r="F136">
        <f>C136+E136</f>
        <v/>
      </c>
      <c r="G136" t="n">
        <v>2.571967282545042</v>
      </c>
      <c r="H136" t="n">
        <v>54</v>
      </c>
      <c r="I136">
        <f>IF(H136=0,0,G136/H136)</f>
        <v/>
      </c>
      <c r="J136" t="n">
        <v>2</v>
      </c>
      <c r="K136" t="n">
        <v>5</v>
      </c>
      <c r="L136" t="n">
        <v>1</v>
      </c>
      <c r="M136" t="n">
        <v>7.453735318363899</v>
      </c>
      <c r="N136">
        <f>D136/2</f>
        <v/>
      </c>
      <c r="O136">
        <f>N136+E136</f>
        <v/>
      </c>
      <c r="P136">
        <f>I136&lt;0.05</f>
        <v/>
      </c>
    </row>
    <row r="137">
      <c r="A137" t="inlineStr">
        <is>
          <t>FOODS_2_164</t>
        </is>
      </c>
      <c r="B137" t="n">
        <v>2.916767305402982</v>
      </c>
      <c r="C137" t="n">
        <v>20.41737113782087</v>
      </c>
      <c r="D137" t="n">
        <v>21</v>
      </c>
      <c r="E137" s="15" t="n">
        <v>7</v>
      </c>
      <c r="F137">
        <f>C137+E137</f>
        <v/>
      </c>
      <c r="G137" t="n">
        <v>5.582628862179128</v>
      </c>
      <c r="H137" t="n">
        <v>121</v>
      </c>
      <c r="I137">
        <f>IF(H137=0,0,G137/H137)</f>
        <v/>
      </c>
      <c r="J137" t="n">
        <v>3</v>
      </c>
      <c r="K137" t="n">
        <v>6</v>
      </c>
      <c r="L137" t="n">
        <v>2</v>
      </c>
      <c r="M137" t="n">
        <v>10.87825294700106</v>
      </c>
      <c r="N137">
        <f>D137/2</f>
        <v/>
      </c>
      <c r="O137">
        <f>N137+E137</f>
        <v/>
      </c>
      <c r="P137">
        <f>I137&lt;0.05</f>
        <v/>
      </c>
    </row>
    <row r="138">
      <c r="A138" t="inlineStr">
        <is>
          <t>FOODS_2_170</t>
        </is>
      </c>
      <c r="B138" t="n">
        <v>2.252731548596294</v>
      </c>
      <c r="C138" t="n">
        <v>15.76912084017405</v>
      </c>
      <c r="D138" t="n">
        <v>16</v>
      </c>
      <c r="E138" s="15" t="n">
        <v>0</v>
      </c>
      <c r="F138">
        <f>C138+E138</f>
        <v/>
      </c>
      <c r="G138" t="n">
        <v>0</v>
      </c>
      <c r="H138" t="n">
        <v>59</v>
      </c>
      <c r="I138">
        <f>IF(H138=0,0,G138/H138)</f>
        <v/>
      </c>
      <c r="J138" t="n">
        <v>0</v>
      </c>
      <c r="K138" t="n">
        <v>4</v>
      </c>
      <c r="L138" t="n">
        <v>0</v>
      </c>
      <c r="M138" t="n">
        <v>10.12626369731692</v>
      </c>
      <c r="N138">
        <f>D138/2</f>
        <v/>
      </c>
      <c r="O138">
        <f>N138+E138</f>
        <v/>
      </c>
      <c r="P138">
        <f>I138&lt;0.05</f>
        <v/>
      </c>
    </row>
    <row r="139">
      <c r="A139" t="inlineStr">
        <is>
          <t>FOODS_2_175</t>
        </is>
      </c>
      <c r="B139" t="n">
        <v>3.610842626079696</v>
      </c>
      <c r="C139" t="n">
        <v>25.27589838255787</v>
      </c>
      <c r="D139" t="n">
        <v>26</v>
      </c>
      <c r="E139" s="15" t="n">
        <v>0</v>
      </c>
      <c r="F139">
        <f>C139+E139</f>
        <v/>
      </c>
      <c r="G139" t="n">
        <v>0</v>
      </c>
      <c r="H139" t="n">
        <v>66</v>
      </c>
      <c r="I139">
        <f>IF(H139=0,0,G139/H139)</f>
        <v/>
      </c>
      <c r="J139" t="n">
        <v>0</v>
      </c>
      <c r="K139" t="n">
        <v>3</v>
      </c>
      <c r="L139" t="n">
        <v>0</v>
      </c>
      <c r="M139" t="n">
        <v>21.41875552541503</v>
      </c>
      <c r="N139">
        <f>D139/2</f>
        <v/>
      </c>
      <c r="O139">
        <f>N139+E139</f>
        <v/>
      </c>
      <c r="P139">
        <f>I139&lt;0.05</f>
        <v/>
      </c>
    </row>
    <row r="140">
      <c r="A140" t="inlineStr">
        <is>
          <t>FOODS_2_176</t>
        </is>
      </c>
      <c r="B140" t="n">
        <v>1.410825636533171</v>
      </c>
      <c r="C140" t="n">
        <v>9.875779455732198</v>
      </c>
      <c r="D140" t="n">
        <v>10</v>
      </c>
      <c r="E140" s="15" t="n">
        <v>3</v>
      </c>
      <c r="F140">
        <f>C140+E140</f>
        <v/>
      </c>
      <c r="G140" t="n">
        <v>1.124220544267802</v>
      </c>
      <c r="H140" t="n">
        <v>52</v>
      </c>
      <c r="I140">
        <f>IF(H140=0,0,G140/H140)</f>
        <v/>
      </c>
      <c r="J140" t="n">
        <v>2</v>
      </c>
      <c r="K140" t="n">
        <v>6</v>
      </c>
      <c r="L140" t="n">
        <v>2</v>
      </c>
      <c r="M140" t="n">
        <v>6.228040461589949</v>
      </c>
      <c r="N140">
        <f>D140/2</f>
        <v/>
      </c>
      <c r="O140">
        <f>N140+E140</f>
        <v/>
      </c>
      <c r="P140">
        <f>I140&lt;0.05</f>
        <v/>
      </c>
    </row>
    <row r="141">
      <c r="A141" t="inlineStr">
        <is>
          <t>FOODS_2_181</t>
        </is>
      </c>
      <c r="B141" t="n">
        <v>9.80927715237692</v>
      </c>
      <c r="C141" t="n">
        <v>68.66494006663844</v>
      </c>
      <c r="D141" t="n">
        <v>69</v>
      </c>
      <c r="E141" s="15" t="n">
        <v>0</v>
      </c>
      <c r="F141">
        <f>C141+E141</f>
        <v/>
      </c>
      <c r="G141" t="n">
        <v>1.335059933361563</v>
      </c>
      <c r="H141" t="n">
        <v>253</v>
      </c>
      <c r="I141">
        <f>IF(H141=0,0,G141/H141)</f>
        <v/>
      </c>
      <c r="J141" t="n">
        <v>1</v>
      </c>
      <c r="K141" t="n">
        <v>4</v>
      </c>
      <c r="L141" t="n">
        <v>1</v>
      </c>
      <c r="M141" t="n">
        <v>36.1782014428511</v>
      </c>
      <c r="N141">
        <f>D141/2</f>
        <v/>
      </c>
      <c r="O141">
        <f>N141+E141</f>
        <v/>
      </c>
      <c r="P141">
        <f>I141&lt;0.05</f>
        <v/>
      </c>
    </row>
    <row r="142">
      <c r="A142" t="inlineStr">
        <is>
          <t>FOODS_2_182</t>
        </is>
      </c>
      <c r="B142" t="n">
        <v>1.633263272340964</v>
      </c>
      <c r="C142" t="n">
        <v>11.43284290638675</v>
      </c>
      <c r="D142" t="n">
        <v>12</v>
      </c>
      <c r="E142" s="15" t="n">
        <v>2</v>
      </c>
      <c r="F142">
        <f>C142+E142</f>
        <v/>
      </c>
      <c r="G142" t="n">
        <v>2.567157093613254</v>
      </c>
      <c r="H142" t="n">
        <v>56</v>
      </c>
      <c r="I142">
        <f>IF(H142=0,0,G142/H142)</f>
        <v/>
      </c>
      <c r="J142" t="n">
        <v>2</v>
      </c>
      <c r="K142" t="n">
        <v>5</v>
      </c>
      <c r="L142" t="n">
        <v>1</v>
      </c>
      <c r="M142" t="n">
        <v>7.534120958817687</v>
      </c>
      <c r="N142">
        <f>D142/2</f>
        <v/>
      </c>
      <c r="O142">
        <f>N142+E142</f>
        <v/>
      </c>
      <c r="P142">
        <f>I142&lt;0.05</f>
        <v/>
      </c>
    </row>
    <row r="143">
      <c r="A143" t="inlineStr">
        <is>
          <t>FOODS_2_183</t>
        </is>
      </c>
      <c r="B143" t="n">
        <v>3.364300714330195</v>
      </c>
      <c r="C143" t="n">
        <v>23.55010500031136</v>
      </c>
      <c r="D143" t="n">
        <v>24</v>
      </c>
      <c r="E143" s="15" t="n">
        <v>0</v>
      </c>
      <c r="F143">
        <f>C143+E143</f>
        <v/>
      </c>
      <c r="G143" t="n">
        <v>0</v>
      </c>
      <c r="H143" t="n">
        <v>81</v>
      </c>
      <c r="I143">
        <f>IF(H143=0,0,G143/H143)</f>
        <v/>
      </c>
      <c r="J143" t="n">
        <v>0</v>
      </c>
      <c r="K143" t="n">
        <v>4</v>
      </c>
      <c r="L143" t="n">
        <v>0</v>
      </c>
      <c r="M143" t="n">
        <v>16.83581928602565</v>
      </c>
      <c r="N143">
        <f>D143/2</f>
        <v/>
      </c>
      <c r="O143">
        <f>N143+E143</f>
        <v/>
      </c>
      <c r="P143">
        <f>I143&lt;0.05</f>
        <v/>
      </c>
    </row>
    <row r="144">
      <c r="A144" t="inlineStr">
        <is>
          <t>FOODS_2_184</t>
        </is>
      </c>
      <c r="B144" t="n">
        <v>2.154784039330395</v>
      </c>
      <c r="C144" t="n">
        <v>15.08348827531277</v>
      </c>
      <c r="D144" t="n">
        <v>16</v>
      </c>
      <c r="E144" s="15" t="n">
        <v>3</v>
      </c>
      <c r="F144">
        <f>C144+E144</f>
        <v/>
      </c>
      <c r="G144" t="n">
        <v>2.916511724687233</v>
      </c>
      <c r="H144" t="n">
        <v>77</v>
      </c>
      <c r="I144">
        <f>IF(H144=0,0,G144/H144)</f>
        <v/>
      </c>
      <c r="J144" t="n">
        <v>2</v>
      </c>
      <c r="K144" t="n">
        <v>5</v>
      </c>
      <c r="L144" t="n">
        <v>2</v>
      </c>
      <c r="M144" t="n">
        <v>7.696528176986776</v>
      </c>
      <c r="N144">
        <f>D144/2</f>
        <v/>
      </c>
      <c r="O144">
        <f>N144+E144</f>
        <v/>
      </c>
      <c r="P144">
        <f>I144&lt;0.05</f>
        <v/>
      </c>
    </row>
    <row r="145">
      <c r="A145" t="inlineStr">
        <is>
          <t>FOODS_2_189</t>
        </is>
      </c>
      <c r="B145" t="n">
        <v>2.15209822314354</v>
      </c>
      <c r="C145" t="n">
        <v>15.06468756200478</v>
      </c>
      <c r="D145" t="n">
        <v>16</v>
      </c>
      <c r="E145" s="15" t="n">
        <v>6</v>
      </c>
      <c r="F145">
        <f>C145+E145</f>
        <v/>
      </c>
      <c r="G145" t="n">
        <v>2.935312437995222</v>
      </c>
      <c r="H145" t="n">
        <v>64</v>
      </c>
      <c r="I145">
        <f>IF(H145=0,0,G145/H145)</f>
        <v/>
      </c>
      <c r="J145" t="n">
        <v>1</v>
      </c>
      <c r="K145" t="n">
        <v>4</v>
      </c>
      <c r="L145" t="n">
        <v>1</v>
      </c>
      <c r="M145" t="n">
        <v>14.22814733471531</v>
      </c>
      <c r="N145">
        <f>D145/2</f>
        <v/>
      </c>
      <c r="O145">
        <f>N145+E145</f>
        <v/>
      </c>
      <c r="P145">
        <f>I145&lt;0.05</f>
        <v/>
      </c>
    </row>
    <row r="146">
      <c r="A146" t="inlineStr">
        <is>
          <t>FOODS_2_196</t>
        </is>
      </c>
      <c r="B146" t="n">
        <v>2.684933546521012</v>
      </c>
      <c r="C146" t="n">
        <v>18.79453482564709</v>
      </c>
      <c r="D146" t="n">
        <v>19</v>
      </c>
      <c r="E146" s="15" t="n">
        <v>0</v>
      </c>
      <c r="F146">
        <f>C146+E146</f>
        <v/>
      </c>
      <c r="G146" t="n">
        <v>1.205465174352913</v>
      </c>
      <c r="H146" t="n">
        <v>72</v>
      </c>
      <c r="I146">
        <f>IF(H146=0,0,G146/H146)</f>
        <v/>
      </c>
      <c r="J146" t="n">
        <v>1</v>
      </c>
      <c r="K146" t="n">
        <v>4</v>
      </c>
      <c r="L146" t="n">
        <v>1</v>
      </c>
      <c r="M146" t="n">
        <v>10.88454317692438</v>
      </c>
      <c r="N146">
        <f>D146/2</f>
        <v/>
      </c>
      <c r="O146">
        <f>N146+E146</f>
        <v/>
      </c>
      <c r="P146">
        <f>I146&lt;0.05</f>
        <v/>
      </c>
    </row>
    <row r="147">
      <c r="A147" t="inlineStr">
        <is>
          <t>FOODS_2_197</t>
        </is>
      </c>
      <c r="B147" t="n">
        <v>10.15228897885494</v>
      </c>
      <c r="C147" t="n">
        <v>71.06602285198458</v>
      </c>
      <c r="D147" t="n">
        <v>72</v>
      </c>
      <c r="E147" s="15" t="n">
        <v>0</v>
      </c>
      <c r="F147">
        <f>C147+E147</f>
        <v/>
      </c>
      <c r="G147" t="n">
        <v>12.93397714801542</v>
      </c>
      <c r="H147" t="n">
        <v>282</v>
      </c>
      <c r="I147">
        <f>IF(H147=0,0,G147/H147)</f>
        <v/>
      </c>
      <c r="J147" t="n">
        <v>2</v>
      </c>
      <c r="K147" t="n">
        <v>4</v>
      </c>
      <c r="L147" t="n">
        <v>2</v>
      </c>
      <c r="M147" t="n">
        <v>37.20922489556428</v>
      </c>
      <c r="N147">
        <f>D147/2</f>
        <v/>
      </c>
      <c r="O147">
        <f>N147+E147</f>
        <v/>
      </c>
      <c r="P147">
        <f>I147&lt;0.05</f>
        <v/>
      </c>
    </row>
    <row r="148">
      <c r="A148" t="inlineStr">
        <is>
          <t>FOODS_2_199</t>
        </is>
      </c>
      <c r="B148" t="n">
        <v>4.563729807640375</v>
      </c>
      <c r="C148" t="n">
        <v>31.94610865348262</v>
      </c>
      <c r="D148" t="n">
        <v>32</v>
      </c>
      <c r="E148" s="15" t="n">
        <v>0</v>
      </c>
      <c r="F148">
        <f>C148+E148</f>
        <v/>
      </c>
      <c r="G148" t="n">
        <v>6.053891346517375</v>
      </c>
      <c r="H148" t="n">
        <v>123</v>
      </c>
      <c r="I148">
        <f>IF(H148=0,0,G148/H148)</f>
        <v/>
      </c>
      <c r="J148" t="n">
        <v>3</v>
      </c>
      <c r="K148" t="n">
        <v>4</v>
      </c>
      <c r="L148" t="n">
        <v>2</v>
      </c>
      <c r="M148" t="n">
        <v>20.61591146959845</v>
      </c>
      <c r="N148">
        <f>D148/2</f>
        <v/>
      </c>
      <c r="O148">
        <f>N148+E148</f>
        <v/>
      </c>
      <c r="P148">
        <f>I148&lt;0.05</f>
        <v/>
      </c>
    </row>
    <row r="149">
      <c r="A149" t="inlineStr">
        <is>
          <t>FOODS_2_201</t>
        </is>
      </c>
      <c r="B149" t="n">
        <v>3.133196972445674</v>
      </c>
      <c r="C149" t="n">
        <v>21.93237880711971</v>
      </c>
      <c r="D149" t="n">
        <v>22</v>
      </c>
      <c r="E149" s="15" t="n">
        <v>1</v>
      </c>
      <c r="F149">
        <f>C149+E149</f>
        <v/>
      </c>
      <c r="G149" t="n">
        <v>4.067621192880285</v>
      </c>
      <c r="H149" t="n">
        <v>91</v>
      </c>
      <c r="I149">
        <f>IF(H149=0,0,G149/H149)</f>
        <v/>
      </c>
      <c r="J149" t="n">
        <v>2</v>
      </c>
      <c r="K149" t="n">
        <v>4</v>
      </c>
      <c r="L149" t="n">
        <v>2</v>
      </c>
      <c r="M149" t="n">
        <v>11.05693831581137</v>
      </c>
      <c r="N149">
        <f>D149/2</f>
        <v/>
      </c>
      <c r="O149">
        <f>N149+E149</f>
        <v/>
      </c>
      <c r="P149">
        <f>I149&lt;0.05</f>
        <v/>
      </c>
    </row>
    <row r="150">
      <c r="A150" t="inlineStr">
        <is>
          <t>FOODS_2_204</t>
        </is>
      </c>
      <c r="B150" t="n">
        <v>4.641305719562825</v>
      </c>
      <c r="C150" t="n">
        <v>32.48914003693978</v>
      </c>
      <c r="D150" t="n">
        <v>33</v>
      </c>
      <c r="E150" s="15" t="n">
        <v>23</v>
      </c>
      <c r="F150">
        <f>C150+E150</f>
        <v/>
      </c>
      <c r="G150" t="n">
        <v>12.51085996306022</v>
      </c>
      <c r="H150" t="n">
        <v>252</v>
      </c>
      <c r="I150">
        <f>IF(H150=0,0,G150/H150)</f>
        <v/>
      </c>
      <c r="J150" t="n">
        <v>4</v>
      </c>
      <c r="K150" t="n">
        <v>8</v>
      </c>
      <c r="L150" t="n">
        <v>3</v>
      </c>
      <c r="M150" t="n">
        <v>16.74767286505852</v>
      </c>
      <c r="N150">
        <f>D150/2</f>
        <v/>
      </c>
      <c r="O150">
        <f>N150+E150</f>
        <v/>
      </c>
      <c r="P150">
        <f>I150&lt;0.05</f>
        <v/>
      </c>
    </row>
    <row r="151">
      <c r="A151" t="inlineStr">
        <is>
          <t>FOODS_2_215</t>
        </is>
      </c>
      <c r="B151" t="n">
        <v>1.790115686564453</v>
      </c>
      <c r="C151" t="n">
        <v>12.53080980595117</v>
      </c>
      <c r="D151" t="n">
        <v>13</v>
      </c>
      <c r="E151" s="15" t="n">
        <v>12</v>
      </c>
      <c r="F151">
        <f>C151+E151</f>
        <v/>
      </c>
      <c r="G151" t="n">
        <v>2.469190194048828</v>
      </c>
      <c r="H151" t="n">
        <v>54</v>
      </c>
      <c r="I151">
        <f>IF(H151=0,0,G151/H151)</f>
        <v/>
      </c>
      <c r="J151" t="n">
        <v>1</v>
      </c>
      <c r="K151" t="n">
        <v>4</v>
      </c>
      <c r="L151" t="n">
        <v>1</v>
      </c>
      <c r="M151" t="n">
        <v>16.59478746534842</v>
      </c>
      <c r="N151">
        <f>D151/2</f>
        <v/>
      </c>
      <c r="O151">
        <f>N151+E151</f>
        <v/>
      </c>
      <c r="P151">
        <f>I151&lt;0.05</f>
        <v/>
      </c>
    </row>
    <row r="152">
      <c r="A152" t="inlineStr">
        <is>
          <t>FOODS_2_221</t>
        </is>
      </c>
      <c r="B152" t="n">
        <v>2.814728059377191</v>
      </c>
      <c r="C152" t="n">
        <v>19.70309641564033</v>
      </c>
      <c r="D152" t="n">
        <v>20</v>
      </c>
      <c r="E152" s="15" t="n">
        <v>7</v>
      </c>
      <c r="F152">
        <f>C152+E152</f>
        <v/>
      </c>
      <c r="G152" t="n">
        <v>3.296903584359669</v>
      </c>
      <c r="H152" t="n">
        <v>81</v>
      </c>
      <c r="I152">
        <f>IF(H152=0,0,G152/H152)</f>
        <v/>
      </c>
      <c r="J152" t="n">
        <v>2</v>
      </c>
      <c r="K152" t="n">
        <v>4</v>
      </c>
      <c r="L152" t="n">
        <v>1</v>
      </c>
      <c r="M152" t="n">
        <v>17.39506886831453</v>
      </c>
      <c r="N152">
        <f>D152/2</f>
        <v/>
      </c>
      <c r="O152">
        <f>N152+E152</f>
        <v/>
      </c>
      <c r="P152">
        <f>I152&lt;0.05</f>
        <v/>
      </c>
    </row>
    <row r="153">
      <c r="A153" t="inlineStr">
        <is>
          <t>FOODS_2_222</t>
        </is>
      </c>
      <c r="B153" t="n">
        <v>4.675998203362112</v>
      </c>
      <c r="C153" t="n">
        <v>32.73198742353478</v>
      </c>
      <c r="D153" t="n">
        <v>33</v>
      </c>
      <c r="E153" s="15" t="n">
        <v>12</v>
      </c>
      <c r="F153">
        <f>C153+E153</f>
        <v/>
      </c>
      <c r="G153" t="n">
        <v>7.268012576465217</v>
      </c>
      <c r="H153" t="n">
        <v>165</v>
      </c>
      <c r="I153">
        <f>IF(H153=0,0,G153/H153)</f>
        <v/>
      </c>
      <c r="J153" t="n">
        <v>1</v>
      </c>
      <c r="K153" t="n">
        <v>5</v>
      </c>
      <c r="L153" t="n">
        <v>1</v>
      </c>
      <c r="M153" t="n">
        <v>23.18742228319597</v>
      </c>
      <c r="N153">
        <f>D153/2</f>
        <v/>
      </c>
      <c r="O153">
        <f>N153+E153</f>
        <v/>
      </c>
      <c r="P153">
        <f>I153&lt;0.05</f>
        <v/>
      </c>
    </row>
    <row r="154">
      <c r="A154" t="inlineStr">
        <is>
          <t>FOODS_2_225</t>
        </is>
      </c>
      <c r="B154" t="n">
        <v>1.655062260554287</v>
      </c>
      <c r="C154" t="n">
        <v>11.58543582388001</v>
      </c>
      <c r="D154" t="n">
        <v>12</v>
      </c>
      <c r="E154" s="15" t="n">
        <v>8</v>
      </c>
      <c r="F154">
        <f>C154+E154</f>
        <v/>
      </c>
      <c r="G154" t="n">
        <v>2.414564176119988</v>
      </c>
      <c r="H154" t="n">
        <v>66</v>
      </c>
      <c r="I154">
        <f>IF(H154=0,0,G154/H154)</f>
        <v/>
      </c>
      <c r="J154" t="n">
        <v>2</v>
      </c>
      <c r="K154" t="n">
        <v>6</v>
      </c>
      <c r="L154" t="n">
        <v>2</v>
      </c>
      <c r="M154" t="n">
        <v>10.83973624797429</v>
      </c>
      <c r="N154">
        <f>D154/2</f>
        <v/>
      </c>
      <c r="O154">
        <f>N154+E154</f>
        <v/>
      </c>
      <c r="P154">
        <f>I154&lt;0.05</f>
        <v/>
      </c>
    </row>
    <row r="155">
      <c r="A155" t="inlineStr">
        <is>
          <t>FOODS_2_240</t>
        </is>
      </c>
      <c r="B155" t="n">
        <v>0.6961378674652041</v>
      </c>
      <c r="C155" t="n">
        <v>4.872965072256429</v>
      </c>
      <c r="D155" t="n">
        <v>5</v>
      </c>
      <c r="E155" s="15" t="n">
        <v>32</v>
      </c>
      <c r="F155">
        <f>C155+E155</f>
        <v/>
      </c>
      <c r="G155" t="n">
        <v>4.127034927743573</v>
      </c>
      <c r="H155" t="n">
        <v>89</v>
      </c>
      <c r="I155">
        <f>IF(H155=0,0,G155/H155)</f>
        <v/>
      </c>
      <c r="J155" t="n">
        <v>2</v>
      </c>
      <c r="K155" t="n">
        <v>14</v>
      </c>
      <c r="L155" t="n">
        <v>2</v>
      </c>
      <c r="M155" t="n">
        <v>20.84690611787913</v>
      </c>
      <c r="N155">
        <f>D155/2</f>
        <v/>
      </c>
      <c r="O155">
        <f>N155+E155</f>
        <v/>
      </c>
      <c r="P155">
        <f>I155&lt;0.05</f>
        <v/>
      </c>
    </row>
    <row r="156">
      <c r="A156" t="inlineStr">
        <is>
          <t>FOODS_2_241</t>
        </is>
      </c>
      <c r="B156" t="n">
        <v>9.234802683462428</v>
      </c>
      <c r="C156" t="n">
        <v>64.64361878423699</v>
      </c>
      <c r="D156" t="n">
        <v>65</v>
      </c>
      <c r="E156" s="15" t="n">
        <v>0</v>
      </c>
      <c r="F156">
        <f>C156+E156</f>
        <v/>
      </c>
      <c r="G156" t="n">
        <v>0</v>
      </c>
      <c r="H156" t="n">
        <v>227</v>
      </c>
      <c r="I156">
        <f>IF(H156=0,0,G156/H156)</f>
        <v/>
      </c>
      <c r="J156" t="n">
        <v>0</v>
      </c>
      <c r="K156" t="n">
        <v>4</v>
      </c>
      <c r="L156" t="n">
        <v>0</v>
      </c>
      <c r="M156" t="n">
        <v>38.71504735566556</v>
      </c>
      <c r="N156">
        <f>D156/2</f>
        <v/>
      </c>
      <c r="O156">
        <f>N156+E156</f>
        <v/>
      </c>
      <c r="P156">
        <f>I156&lt;0.05</f>
        <v/>
      </c>
    </row>
    <row r="157">
      <c r="A157" t="inlineStr">
        <is>
          <t>FOODS_2_244</t>
        </is>
      </c>
      <c r="B157" t="n">
        <v>9.260020574635169</v>
      </c>
      <c r="C157" t="n">
        <v>64.82014402244619</v>
      </c>
      <c r="D157" t="n">
        <v>65</v>
      </c>
      <c r="E157" s="15" t="n">
        <v>0</v>
      </c>
      <c r="F157">
        <f>C157+E157</f>
        <v/>
      </c>
      <c r="G157" t="n">
        <v>7.179855977553814</v>
      </c>
      <c r="H157" t="n">
        <v>244</v>
      </c>
      <c r="I157">
        <f>IF(H157=0,0,G157/H157)</f>
        <v/>
      </c>
      <c r="J157" t="n">
        <v>2</v>
      </c>
      <c r="K157" t="n">
        <v>4</v>
      </c>
      <c r="L157" t="n">
        <v>2</v>
      </c>
      <c r="M157" t="n">
        <v>33.98150058265166</v>
      </c>
      <c r="N157">
        <f>D157/2</f>
        <v/>
      </c>
      <c r="O157">
        <f>N157+E157</f>
        <v/>
      </c>
      <c r="P157">
        <f>I157&lt;0.05</f>
        <v/>
      </c>
    </row>
    <row r="158">
      <c r="A158" t="inlineStr">
        <is>
          <t>FOODS_2_247</t>
        </is>
      </c>
      <c r="B158" t="n">
        <v>1.727710409876894</v>
      </c>
      <c r="C158" t="n">
        <v>12.09397286913826</v>
      </c>
      <c r="D158" t="n">
        <v>13</v>
      </c>
      <c r="E158" s="15" t="n">
        <v>12</v>
      </c>
      <c r="F158">
        <f>C158+E158</f>
        <v/>
      </c>
      <c r="G158" t="n">
        <v>2.906027130861741</v>
      </c>
      <c r="H158" t="n">
        <v>75</v>
      </c>
      <c r="I158">
        <f>IF(H158=0,0,G158/H158)</f>
        <v/>
      </c>
      <c r="J158" t="n">
        <v>1</v>
      </c>
      <c r="K158" t="n">
        <v>6</v>
      </c>
      <c r="L158" t="n">
        <v>1</v>
      </c>
      <c r="M158" t="n">
        <v>13.43313122963068</v>
      </c>
      <c r="N158">
        <f>D158/2</f>
        <v/>
      </c>
      <c r="O158">
        <f>N158+E158</f>
        <v/>
      </c>
      <c r="P158">
        <f>I158&lt;0.05</f>
        <v/>
      </c>
    </row>
    <row r="159">
      <c r="A159" t="inlineStr">
        <is>
          <t>FOODS_2_249</t>
        </is>
      </c>
      <c r="B159" t="n">
        <v>2.964460373299747</v>
      </c>
      <c r="C159" t="n">
        <v>20.75122261309823</v>
      </c>
      <c r="D159" t="n">
        <v>21</v>
      </c>
      <c r="E159" s="15" t="n">
        <v>0</v>
      </c>
      <c r="F159">
        <f>C159+E159</f>
        <v/>
      </c>
      <c r="G159" t="n">
        <v>0</v>
      </c>
      <c r="H159" t="n">
        <v>72</v>
      </c>
      <c r="I159">
        <f>IF(H159=0,0,G159/H159)</f>
        <v/>
      </c>
      <c r="J159" t="n">
        <v>0</v>
      </c>
      <c r="K159" t="n">
        <v>4</v>
      </c>
      <c r="L159" t="n">
        <v>0</v>
      </c>
      <c r="M159" t="n">
        <v>13.8226511845268</v>
      </c>
      <c r="N159">
        <f>D159/2</f>
        <v/>
      </c>
      <c r="O159">
        <f>N159+E159</f>
        <v/>
      </c>
      <c r="P159">
        <f>I159&lt;0.05</f>
        <v/>
      </c>
    </row>
    <row r="160">
      <c r="A160" t="inlineStr">
        <is>
          <t>FOODS_2_257</t>
        </is>
      </c>
      <c r="B160" t="n">
        <v>2.206367693270153</v>
      </c>
      <c r="C160" t="n">
        <v>15.44457385289108</v>
      </c>
      <c r="D160" t="n">
        <v>16</v>
      </c>
      <c r="E160" s="15" t="n">
        <v>2</v>
      </c>
      <c r="F160">
        <f>C160+E160</f>
        <v/>
      </c>
      <c r="G160" t="n">
        <v>2.555426147108925</v>
      </c>
      <c r="H160" t="n">
        <v>70</v>
      </c>
      <c r="I160">
        <f>IF(H160=0,0,G160/H160)</f>
        <v/>
      </c>
      <c r="J160" t="n">
        <v>1</v>
      </c>
      <c r="K160" t="n">
        <v>5</v>
      </c>
      <c r="L160" t="n">
        <v>1</v>
      </c>
      <c r="M160" t="n">
        <v>9.837347804603954</v>
      </c>
      <c r="N160">
        <f>D160/2</f>
        <v/>
      </c>
      <c r="O160">
        <f>N160+E160</f>
        <v/>
      </c>
      <c r="P160">
        <f>I160&lt;0.05</f>
        <v/>
      </c>
    </row>
    <row r="161">
      <c r="A161" t="inlineStr">
        <is>
          <t>FOODS_2_262</t>
        </is>
      </c>
      <c r="B161" t="n">
        <v>1.217576004112664</v>
      </c>
      <c r="C161" t="n">
        <v>8.52303202878865</v>
      </c>
      <c r="D161" t="n">
        <v>9</v>
      </c>
      <c r="E161" s="15" t="n">
        <v>7</v>
      </c>
      <c r="F161">
        <f>C161+E161</f>
        <v/>
      </c>
      <c r="G161" t="n">
        <v>2.47696797121135</v>
      </c>
      <c r="H161" t="n">
        <v>56</v>
      </c>
      <c r="I161">
        <f>IF(H161=0,0,G161/H161)</f>
        <v/>
      </c>
      <c r="J161" t="n">
        <v>1</v>
      </c>
      <c r="K161" t="n">
        <v>6</v>
      </c>
      <c r="L161" t="n">
        <v>1</v>
      </c>
      <c r="M161" t="n">
        <v>8.466992882847013</v>
      </c>
      <c r="N161">
        <f>D161/2</f>
        <v/>
      </c>
      <c r="O161">
        <f>N161+E161</f>
        <v/>
      </c>
      <c r="P161">
        <f>I161&lt;0.05</f>
        <v/>
      </c>
    </row>
    <row r="162">
      <c r="A162" t="inlineStr">
        <is>
          <t>FOODS_2_266</t>
        </is>
      </c>
      <c r="B162" t="n">
        <v>1.850466073948861</v>
      </c>
      <c r="C162" t="n">
        <v>12.95326251764203</v>
      </c>
      <c r="D162" t="n">
        <v>13</v>
      </c>
      <c r="E162" s="15" t="n">
        <v>5</v>
      </c>
      <c r="F162">
        <f>C162+E162</f>
        <v/>
      </c>
      <c r="G162" t="n">
        <v>3.046737482357969</v>
      </c>
      <c r="H162" t="n">
        <v>61</v>
      </c>
      <c r="I162">
        <f>IF(H162=0,0,G162/H162)</f>
        <v/>
      </c>
      <c r="J162" t="n">
        <v>1</v>
      </c>
      <c r="K162" t="n">
        <v>5</v>
      </c>
      <c r="L162" t="n">
        <v>1</v>
      </c>
      <c r="M162" t="n">
        <v>10.2656839361323</v>
      </c>
      <c r="N162">
        <f>D162/2</f>
        <v/>
      </c>
      <c r="O162">
        <f>N162+E162</f>
        <v/>
      </c>
      <c r="P162">
        <f>I162&lt;0.05</f>
        <v/>
      </c>
    </row>
    <row r="163">
      <c r="A163" t="inlineStr">
        <is>
          <t>FOODS_2_274</t>
        </is>
      </c>
      <c r="B163" t="n">
        <v>2.705681791815213</v>
      </c>
      <c r="C163" t="n">
        <v>18.93977254270649</v>
      </c>
      <c r="D163" t="n">
        <v>19</v>
      </c>
      <c r="E163" s="15" t="n">
        <v>1</v>
      </c>
      <c r="F163">
        <f>C163+E163</f>
        <v/>
      </c>
      <c r="G163" t="n">
        <v>1.060227457293507</v>
      </c>
      <c r="H163" t="n">
        <v>74</v>
      </c>
      <c r="I163">
        <f>IF(H163=0,0,G163/H163)</f>
        <v/>
      </c>
      <c r="J163" t="n">
        <v>1</v>
      </c>
      <c r="K163" t="n">
        <v>4</v>
      </c>
      <c r="L163" t="n">
        <v>1</v>
      </c>
      <c r="M163" t="n">
        <v>8.509902518302782</v>
      </c>
      <c r="N163">
        <f>D163/2</f>
        <v/>
      </c>
      <c r="O163">
        <f>N163+E163</f>
        <v/>
      </c>
      <c r="P163">
        <f>I163&lt;0.05</f>
        <v/>
      </c>
    </row>
    <row r="164">
      <c r="A164" t="inlineStr">
        <is>
          <t>FOODS_2_276</t>
        </is>
      </c>
      <c r="B164" t="n">
        <v>8.552917100211982</v>
      </c>
      <c r="C164" t="n">
        <v>59.87041970148387</v>
      </c>
      <c r="D164" t="n">
        <v>60</v>
      </c>
      <c r="E164" s="15" t="n">
        <v>0</v>
      </c>
      <c r="F164">
        <f>C164+E164</f>
        <v/>
      </c>
      <c r="G164" t="n">
        <v>0</v>
      </c>
      <c r="H164" t="n">
        <v>178</v>
      </c>
      <c r="I164">
        <f>IF(H164=0,0,G164/H164)</f>
        <v/>
      </c>
      <c r="J164" t="n">
        <v>0</v>
      </c>
      <c r="K164" t="n">
        <v>3</v>
      </c>
      <c r="L164" t="n">
        <v>0</v>
      </c>
      <c r="M164" t="n">
        <v>47.15613398719815</v>
      </c>
      <c r="N164">
        <f>D164/2</f>
        <v/>
      </c>
      <c r="O164">
        <f>N164+E164</f>
        <v/>
      </c>
      <c r="P164">
        <f>I164&lt;0.05</f>
        <v/>
      </c>
    </row>
    <row r="165">
      <c r="A165" t="inlineStr">
        <is>
          <t>FOODS_2_285</t>
        </is>
      </c>
      <c r="B165" t="n">
        <v>3.048163997795851</v>
      </c>
      <c r="C165" t="n">
        <v>21.33714798457096</v>
      </c>
      <c r="D165" t="n">
        <v>22</v>
      </c>
      <c r="E165" s="15" t="n">
        <v>11</v>
      </c>
      <c r="F165">
        <f>C165+E165</f>
        <v/>
      </c>
      <c r="G165" t="n">
        <v>1.662852015429038</v>
      </c>
      <c r="H165" t="n">
        <v>100</v>
      </c>
      <c r="I165">
        <f>IF(H165=0,0,G165/H165)</f>
        <v/>
      </c>
      <c r="J165" t="n">
        <v>1</v>
      </c>
      <c r="K165" t="n">
        <v>5</v>
      </c>
      <c r="L165" t="n">
        <v>1</v>
      </c>
      <c r="M165" t="n">
        <v>19.90653299283651</v>
      </c>
      <c r="N165">
        <f>D165/2</f>
        <v/>
      </c>
      <c r="O165">
        <f>N165+E165</f>
        <v/>
      </c>
      <c r="P165">
        <f>I165&lt;0.05</f>
        <v/>
      </c>
    </row>
    <row r="166">
      <c r="A166" t="inlineStr">
        <is>
          <t>FOODS_2_289</t>
        </is>
      </c>
      <c r="B166" t="n">
        <v>2.738643082046946</v>
      </c>
      <c r="C166" t="n">
        <v>19.17050157432863</v>
      </c>
      <c r="D166" t="n">
        <v>20</v>
      </c>
      <c r="E166" s="15" t="n">
        <v>7</v>
      </c>
      <c r="F166">
        <f>C166+E166</f>
        <v/>
      </c>
      <c r="G166" t="n">
        <v>3.829498425671375</v>
      </c>
      <c r="H166" t="n">
        <v>87</v>
      </c>
      <c r="I166">
        <f>IF(H166=0,0,G166/H166)</f>
        <v/>
      </c>
      <c r="J166" t="n">
        <v>1</v>
      </c>
      <c r="K166" t="n">
        <v>5</v>
      </c>
      <c r="L166" t="n">
        <v>1</v>
      </c>
      <c r="M166" t="n">
        <v>15.78653605164185</v>
      </c>
      <c r="N166">
        <f>D166/2</f>
        <v/>
      </c>
      <c r="O166">
        <f>N166+E166</f>
        <v/>
      </c>
      <c r="P166">
        <f>I166&lt;0.05</f>
        <v/>
      </c>
    </row>
    <row r="167">
      <c r="A167" t="inlineStr">
        <is>
          <t>FOODS_2_293</t>
        </is>
      </c>
      <c r="B167" t="n">
        <v>4.747983812442347</v>
      </c>
      <c r="C167" t="n">
        <v>33.23588668709642</v>
      </c>
      <c r="D167" t="n">
        <v>34</v>
      </c>
      <c r="E167" s="15" t="n">
        <v>4</v>
      </c>
      <c r="F167">
        <f>C167+E167</f>
        <v/>
      </c>
      <c r="G167" t="n">
        <v>6.764113312903575</v>
      </c>
      <c r="H167" t="n">
        <v>157</v>
      </c>
      <c r="I167">
        <f>IF(H167=0,0,G167/H167)</f>
        <v/>
      </c>
      <c r="J167" t="n">
        <v>2</v>
      </c>
      <c r="K167" t="n">
        <v>5</v>
      </c>
      <c r="L167" t="n">
        <v>2</v>
      </c>
      <c r="M167" t="n">
        <v>18.51483286152066</v>
      </c>
      <c r="N167">
        <f>D167/2</f>
        <v/>
      </c>
      <c r="O167">
        <f>N167+E167</f>
        <v/>
      </c>
      <c r="P167">
        <f>I167&lt;0.05</f>
        <v/>
      </c>
    </row>
    <row r="168">
      <c r="A168" t="inlineStr">
        <is>
          <t>FOODS_2_294</t>
        </is>
      </c>
      <c r="B168" t="n">
        <v>3.882561401015706</v>
      </c>
      <c r="C168" t="n">
        <v>27.17792980710994</v>
      </c>
      <c r="D168" t="n">
        <v>28</v>
      </c>
      <c r="E168" s="15" t="n">
        <v>7</v>
      </c>
      <c r="F168">
        <f>C168+E168</f>
        <v/>
      </c>
      <c r="G168" t="n">
        <v>5.822070192890052</v>
      </c>
      <c r="H168" t="n">
        <v>135</v>
      </c>
      <c r="I168">
        <f>IF(H168=0,0,G168/H168)</f>
        <v/>
      </c>
      <c r="J168" t="n">
        <v>3</v>
      </c>
      <c r="K168" t="n">
        <v>5</v>
      </c>
      <c r="L168" t="n">
        <v>3</v>
      </c>
      <c r="M168" t="n">
        <v>14.64768420304712</v>
      </c>
      <c r="N168">
        <f>D168/2</f>
        <v/>
      </c>
      <c r="O168">
        <f>N168+E168</f>
        <v/>
      </c>
      <c r="P168">
        <f>I168&lt;0.05</f>
        <v/>
      </c>
    </row>
    <row r="169">
      <c r="A169" t="inlineStr">
        <is>
          <t>FOODS_2_299</t>
        </is>
      </c>
      <c r="B169" t="n">
        <v>2.077409869355905</v>
      </c>
      <c r="C169" t="n">
        <v>14.54186908549134</v>
      </c>
      <c r="D169" t="n">
        <v>15</v>
      </c>
      <c r="E169" s="15" t="n">
        <v>5</v>
      </c>
      <c r="F169">
        <f>C169+E169</f>
        <v/>
      </c>
      <c r="G169" t="n">
        <v>3.458130914508665</v>
      </c>
      <c r="H169" t="n">
        <v>72</v>
      </c>
      <c r="I169">
        <f>IF(H169=0,0,G169/H169)</f>
        <v/>
      </c>
      <c r="J169" t="n">
        <v>2</v>
      </c>
      <c r="K169" t="n">
        <v>5</v>
      </c>
      <c r="L169" t="n">
        <v>1</v>
      </c>
      <c r="M169" t="n">
        <v>10.90042051619116</v>
      </c>
      <c r="N169">
        <f>D169/2</f>
        <v/>
      </c>
      <c r="O169">
        <f>N169+E169</f>
        <v/>
      </c>
      <c r="P169">
        <f>I169&lt;0.05</f>
        <v/>
      </c>
    </row>
    <row r="170">
      <c r="A170" t="inlineStr">
        <is>
          <t>FOODS_2_304</t>
        </is>
      </c>
      <c r="B170" t="n">
        <v>3.093810992630769</v>
      </c>
      <c r="C170" t="n">
        <v>21.65667694841538</v>
      </c>
      <c r="D170" t="n">
        <v>22</v>
      </c>
      <c r="E170" s="15" t="n">
        <v>0</v>
      </c>
      <c r="F170">
        <f>C170+E170</f>
        <v/>
      </c>
      <c r="G170" t="n">
        <v>1.343323051584619</v>
      </c>
      <c r="H170" t="n">
        <v>81</v>
      </c>
      <c r="I170">
        <f>IF(H170=0,0,G170/H170)</f>
        <v/>
      </c>
      <c r="J170" t="n">
        <v>1</v>
      </c>
      <c r="K170" t="n">
        <v>4</v>
      </c>
      <c r="L170" t="n">
        <v>1</v>
      </c>
      <c r="M170" t="n">
        <v>11.64071648894615</v>
      </c>
      <c r="N170">
        <f>D170/2</f>
        <v/>
      </c>
      <c r="O170">
        <f>N170+E170</f>
        <v/>
      </c>
      <c r="P170">
        <f>I170&lt;0.05</f>
        <v/>
      </c>
    </row>
    <row r="171">
      <c r="A171" t="inlineStr">
        <is>
          <t>FOODS_2_306</t>
        </is>
      </c>
      <c r="B171" t="n">
        <v>2.058902106669901</v>
      </c>
      <c r="C171" t="n">
        <v>14.41231474668931</v>
      </c>
      <c r="D171" t="n">
        <v>15</v>
      </c>
      <c r="E171" s="15" t="n">
        <v>69</v>
      </c>
      <c r="F171">
        <f>C171+E171</f>
        <v/>
      </c>
      <c r="G171" t="n">
        <v>6.587685253310696</v>
      </c>
      <c r="H171" t="n">
        <v>149</v>
      </c>
      <c r="I171">
        <f>IF(H171=0,0,G171/H171)</f>
        <v/>
      </c>
      <c r="J171" t="n">
        <v>2</v>
      </c>
      <c r="K171" t="n">
        <v>6</v>
      </c>
      <c r="L171" t="n">
        <v>1</v>
      </c>
      <c r="M171" t="n">
        <v>55.60934191905166</v>
      </c>
      <c r="N171">
        <f>D171/2</f>
        <v/>
      </c>
      <c r="O171">
        <f>N171+E171</f>
        <v/>
      </c>
      <c r="P171">
        <f>I171&lt;0.05</f>
        <v/>
      </c>
    </row>
    <row r="172">
      <c r="A172" t="inlineStr">
        <is>
          <t>FOODS_2_307</t>
        </is>
      </c>
      <c r="B172" t="n">
        <v>1.76932347699752</v>
      </c>
      <c r="C172" t="n">
        <v>12.38526433898264</v>
      </c>
      <c r="D172" t="n">
        <v>13</v>
      </c>
      <c r="E172" s="15" t="n">
        <v>3</v>
      </c>
      <c r="F172">
        <f>C172+E172</f>
        <v/>
      </c>
      <c r="G172" t="n">
        <v>2.614735661017361</v>
      </c>
      <c r="H172" t="n">
        <v>57</v>
      </c>
      <c r="I172">
        <f>IF(H172=0,0,G172/H172)</f>
        <v/>
      </c>
      <c r="J172" t="n">
        <v>2</v>
      </c>
      <c r="K172" t="n">
        <v>5</v>
      </c>
      <c r="L172" t="n">
        <v>1</v>
      </c>
      <c r="M172" t="n">
        <v>7.247368631961185</v>
      </c>
      <c r="N172">
        <f>D172/2</f>
        <v/>
      </c>
      <c r="O172">
        <f>N172+E172</f>
        <v/>
      </c>
      <c r="P172">
        <f>I172&lt;0.05</f>
        <v/>
      </c>
    </row>
    <row r="173">
      <c r="A173" t="inlineStr">
        <is>
          <t>FOODS_2_309</t>
        </is>
      </c>
      <c r="B173" t="n">
        <v>2.23312409781443</v>
      </c>
      <c r="C173" t="n">
        <v>15.63186868470101</v>
      </c>
      <c r="D173" t="n">
        <v>16</v>
      </c>
      <c r="E173" s="15" t="n">
        <v>1</v>
      </c>
      <c r="F173">
        <f>C173+E173</f>
        <v/>
      </c>
      <c r="G173" t="n">
        <v>1.368131315298989</v>
      </c>
      <c r="H173" t="n">
        <v>69</v>
      </c>
      <c r="I173">
        <f>IF(H173=0,0,G173/H173)</f>
        <v/>
      </c>
      <c r="J173" t="n">
        <v>1</v>
      </c>
      <c r="K173" t="n">
        <v>5</v>
      </c>
      <c r="L173" t="n">
        <v>1</v>
      </c>
      <c r="M173" t="n">
        <v>7.250196607475684</v>
      </c>
      <c r="N173">
        <f>D173/2</f>
        <v/>
      </c>
      <c r="O173">
        <f>N173+E173</f>
        <v/>
      </c>
      <c r="P173">
        <f>I173&lt;0.05</f>
        <v/>
      </c>
    </row>
    <row r="174">
      <c r="A174" t="inlineStr">
        <is>
          <t>FOODS_2_315</t>
        </is>
      </c>
      <c r="B174" t="n">
        <v>4.506173501125664</v>
      </c>
      <c r="C174" t="n">
        <v>31.54321450787965</v>
      </c>
      <c r="D174" t="n">
        <v>32</v>
      </c>
      <c r="E174" s="15" t="n">
        <v>13</v>
      </c>
      <c r="F174">
        <f>C174+E174</f>
        <v/>
      </c>
      <c r="G174" t="n">
        <v>6.456785492120353</v>
      </c>
      <c r="H174" t="n">
        <v>148</v>
      </c>
      <c r="I174">
        <f>IF(H174=0,0,G174/H174)</f>
        <v/>
      </c>
      <c r="J174" t="n">
        <v>2</v>
      </c>
      <c r="K174" t="n">
        <v>5</v>
      </c>
      <c r="L174" t="n">
        <v>1</v>
      </c>
      <c r="M174" t="n">
        <v>21.8470025906928</v>
      </c>
      <c r="N174">
        <f>D174/2</f>
        <v/>
      </c>
      <c r="O174">
        <f>N174+E174</f>
        <v/>
      </c>
      <c r="P174">
        <f>I174&lt;0.05</f>
        <v/>
      </c>
    </row>
    <row r="175">
      <c r="A175" t="inlineStr">
        <is>
          <t>FOODS_2_316</t>
        </is>
      </c>
      <c r="B175" t="n">
        <v>0.5442218373280191</v>
      </c>
      <c r="C175" t="n">
        <v>3.809552861296134</v>
      </c>
      <c r="D175" t="n">
        <v>4</v>
      </c>
      <c r="E175" s="15" t="n">
        <v>25</v>
      </c>
      <c r="F175">
        <f>C175+E175</f>
        <v/>
      </c>
      <c r="G175" t="n">
        <v>4.190447138703867</v>
      </c>
      <c r="H175" t="n">
        <v>104</v>
      </c>
      <c r="I175">
        <f>IF(H175=0,0,G175/H175)</f>
        <v/>
      </c>
      <c r="J175" t="n">
        <v>3</v>
      </c>
      <c r="K175" t="n">
        <v>21</v>
      </c>
      <c r="L175" t="n">
        <v>2</v>
      </c>
      <c r="M175" t="n">
        <v>7.789126021891478</v>
      </c>
      <c r="N175">
        <f>D175/2</f>
        <v/>
      </c>
      <c r="O175">
        <f>N175+E175</f>
        <v/>
      </c>
      <c r="P175">
        <f>I175&lt;0.05</f>
        <v/>
      </c>
    </row>
    <row r="176">
      <c r="A176" t="inlineStr">
        <is>
          <t>FOODS_2_318</t>
        </is>
      </c>
      <c r="B176" t="n">
        <v>9.722281420585407</v>
      </c>
      <c r="C176" t="n">
        <v>68.05596994409785</v>
      </c>
      <c r="D176" t="n">
        <v>69</v>
      </c>
      <c r="E176" s="15" t="n">
        <v>1</v>
      </c>
      <c r="F176">
        <f>C176+E176</f>
        <v/>
      </c>
      <c r="G176" t="n">
        <v>3.944030055902147</v>
      </c>
      <c r="H176" t="n">
        <v>302</v>
      </c>
      <c r="I176">
        <f>IF(H176=0,0,G176/H176)</f>
        <v/>
      </c>
      <c r="J176" t="n">
        <v>1</v>
      </c>
      <c r="K176" t="n">
        <v>5</v>
      </c>
      <c r="L176" t="n">
        <v>1</v>
      </c>
      <c r="M176" t="n">
        <v>34.21655103349497</v>
      </c>
      <c r="N176">
        <f>D176/2</f>
        <v/>
      </c>
      <c r="O176">
        <f>N176+E176</f>
        <v/>
      </c>
      <c r="P176">
        <f>I176&lt;0.05</f>
        <v/>
      </c>
    </row>
    <row r="177">
      <c r="A177" t="inlineStr">
        <is>
          <t>FOODS_2_325</t>
        </is>
      </c>
      <c r="B177" t="n">
        <v>5.492019891632473</v>
      </c>
      <c r="C177" t="n">
        <v>38.44413924142731</v>
      </c>
      <c r="D177" t="n">
        <v>39</v>
      </c>
      <c r="E177" s="15" t="n">
        <v>4</v>
      </c>
      <c r="F177">
        <f>C177+E177</f>
        <v/>
      </c>
      <c r="G177" t="n">
        <v>7.555860758572692</v>
      </c>
      <c r="H177" t="n">
        <v>153</v>
      </c>
      <c r="I177">
        <f>IF(H177=0,0,G177/H177)</f>
        <v/>
      </c>
      <c r="J177" t="n">
        <v>1</v>
      </c>
      <c r="K177" t="n">
        <v>4</v>
      </c>
      <c r="L177" t="n">
        <v>1</v>
      </c>
      <c r="M177" t="n">
        <v>24.59517269459156</v>
      </c>
      <c r="N177">
        <f>D177/2</f>
        <v/>
      </c>
      <c r="O177">
        <f>N177+E177</f>
        <v/>
      </c>
      <c r="P177">
        <f>I177&lt;0.05</f>
        <v/>
      </c>
    </row>
    <row r="178">
      <c r="A178" t="inlineStr">
        <is>
          <t>FOODS_2_326</t>
        </is>
      </c>
      <c r="B178" t="n">
        <v>14.27437833933989</v>
      </c>
      <c r="C178" t="n">
        <v>99.9206483753792</v>
      </c>
      <c r="D178" t="n">
        <v>100</v>
      </c>
      <c r="E178" s="15" t="n">
        <v>0</v>
      </c>
      <c r="F178">
        <f>C178+E178</f>
        <v/>
      </c>
      <c r="G178" t="n">
        <v>6.079351624620813</v>
      </c>
      <c r="H178" t="n">
        <v>389</v>
      </c>
      <c r="I178">
        <f>IF(H178=0,0,G178/H178)</f>
        <v/>
      </c>
      <c r="J178" t="n">
        <v>2</v>
      </c>
      <c r="K178" t="n">
        <v>4</v>
      </c>
      <c r="L178" t="n">
        <v>2</v>
      </c>
      <c r="M178" t="n">
        <v>66.02608478593096</v>
      </c>
      <c r="N178">
        <f>D178/2</f>
        <v/>
      </c>
      <c r="O178">
        <f>N178+E178</f>
        <v/>
      </c>
      <c r="P178">
        <f>I178&lt;0.05</f>
        <v/>
      </c>
    </row>
    <row r="179">
      <c r="A179" t="inlineStr">
        <is>
          <t>FOODS_2_334</t>
        </is>
      </c>
      <c r="B179" t="n">
        <v>3.016102017418578</v>
      </c>
      <c r="C179" t="n">
        <v>21.11271412193004</v>
      </c>
      <c r="D179" t="n">
        <v>22</v>
      </c>
      <c r="E179" s="15" t="n">
        <v>1</v>
      </c>
      <c r="F179">
        <f>C179+E179</f>
        <v/>
      </c>
      <c r="G179" t="n">
        <v>2.88728587806996</v>
      </c>
      <c r="H179" t="n">
        <v>72</v>
      </c>
      <c r="I179">
        <f>IF(H179=0,0,G179/H179)</f>
        <v/>
      </c>
      <c r="J179" t="n">
        <v>1</v>
      </c>
      <c r="K179" t="n">
        <v>4</v>
      </c>
      <c r="L179" t="n">
        <v>1</v>
      </c>
      <c r="M179" t="n">
        <v>15.46129071688609</v>
      </c>
      <c r="N179">
        <f>D179/2</f>
        <v/>
      </c>
      <c r="O179">
        <f>N179+E179</f>
        <v/>
      </c>
      <c r="P179">
        <f>I179&lt;0.05</f>
        <v/>
      </c>
    </row>
    <row r="180">
      <c r="A180" t="inlineStr">
        <is>
          <t>FOODS_2_342</t>
        </is>
      </c>
      <c r="B180" t="n">
        <v>4.888001555368611</v>
      </c>
      <c r="C180" t="n">
        <v>34.21601088758027</v>
      </c>
      <c r="D180" t="n">
        <v>35</v>
      </c>
      <c r="E180" s="15" t="n">
        <v>0</v>
      </c>
      <c r="F180">
        <f>C180+E180</f>
        <v/>
      </c>
      <c r="G180" t="n">
        <v>0</v>
      </c>
      <c r="H180" t="n">
        <v>129</v>
      </c>
      <c r="I180">
        <f>IF(H180=0,0,G180/H180)</f>
        <v/>
      </c>
      <c r="J180" t="n">
        <v>0</v>
      </c>
      <c r="K180" t="n">
        <v>4</v>
      </c>
      <c r="L180" t="n">
        <v>0</v>
      </c>
      <c r="M180" t="n">
        <v>21.82315374472314</v>
      </c>
      <c r="N180">
        <f>D180/2</f>
        <v/>
      </c>
      <c r="O180">
        <f>N180+E180</f>
        <v/>
      </c>
      <c r="P180">
        <f>I180&lt;0.05</f>
        <v/>
      </c>
    </row>
    <row r="181">
      <c r="A181" t="inlineStr">
        <is>
          <t>FOODS_2_346</t>
        </is>
      </c>
      <c r="B181" t="n">
        <v>5.21214411112109</v>
      </c>
      <c r="C181" t="n">
        <v>36.48500877784763</v>
      </c>
      <c r="D181" t="n">
        <v>37</v>
      </c>
      <c r="E181" s="15" t="n">
        <v>1</v>
      </c>
      <c r="F181">
        <f>C181+E181</f>
        <v/>
      </c>
      <c r="G181" t="n">
        <v>5.514991222152368</v>
      </c>
      <c r="H181" t="n">
        <v>167</v>
      </c>
      <c r="I181">
        <f>IF(H181=0,0,G181/H181)</f>
        <v/>
      </c>
      <c r="J181" t="n">
        <v>1</v>
      </c>
      <c r="K181" t="n">
        <v>5</v>
      </c>
      <c r="L181" t="n">
        <v>1</v>
      </c>
      <c r="M181" t="n">
        <v>17.46107330953878</v>
      </c>
      <c r="N181">
        <f>D181/2</f>
        <v/>
      </c>
      <c r="O181">
        <f>N181+E181</f>
        <v/>
      </c>
      <c r="P181">
        <f>I181&lt;0.05</f>
        <v/>
      </c>
    </row>
    <row r="182">
      <c r="A182" t="inlineStr">
        <is>
          <t>FOODS_2_347</t>
        </is>
      </c>
      <c r="B182" t="n">
        <v>10.31971581865865</v>
      </c>
      <c r="C182" t="n">
        <v>72.23801073061055</v>
      </c>
      <c r="D182" t="n">
        <v>73</v>
      </c>
      <c r="E182" s="15" t="n">
        <v>1</v>
      </c>
      <c r="F182">
        <f>C182+E182</f>
        <v/>
      </c>
      <c r="G182" t="n">
        <v>9.761989269389446</v>
      </c>
      <c r="H182" t="n">
        <v>303</v>
      </c>
      <c r="I182">
        <f>IF(H182=0,0,G182/H182)</f>
        <v/>
      </c>
      <c r="J182" t="n">
        <v>2</v>
      </c>
      <c r="K182" t="n">
        <v>5</v>
      </c>
      <c r="L182" t="n">
        <v>2</v>
      </c>
      <c r="M182" t="n">
        <v>38.87243087084511</v>
      </c>
      <c r="N182">
        <f>D182/2</f>
        <v/>
      </c>
      <c r="O182">
        <f>N182+E182</f>
        <v/>
      </c>
      <c r="P182">
        <f>I182&lt;0.05</f>
        <v/>
      </c>
    </row>
    <row r="183">
      <c r="A183" t="inlineStr">
        <is>
          <t>FOODS_2_348</t>
        </is>
      </c>
      <c r="B183" t="n">
        <v>1.265271396161641</v>
      </c>
      <c r="C183" t="n">
        <v>8.856899773131484</v>
      </c>
      <c r="D183" t="n">
        <v>9</v>
      </c>
      <c r="E183" s="15" t="n">
        <v>8</v>
      </c>
      <c r="F183">
        <f>C183+E183</f>
        <v/>
      </c>
      <c r="G183" t="n">
        <v>2.143100226868516</v>
      </c>
      <c r="H183" t="n">
        <v>51</v>
      </c>
      <c r="I183">
        <f>IF(H183=0,0,G183/H183)</f>
        <v/>
      </c>
      <c r="J183" t="n">
        <v>1</v>
      </c>
      <c r="K183" t="n">
        <v>6</v>
      </c>
      <c r="L183" t="n">
        <v>1</v>
      </c>
      <c r="M183" t="n">
        <v>9.183621379956747</v>
      </c>
      <c r="N183">
        <f>D183/2</f>
        <v/>
      </c>
      <c r="O183">
        <f>N183+E183</f>
        <v/>
      </c>
      <c r="P183">
        <f>I183&lt;0.05</f>
        <v/>
      </c>
    </row>
    <row r="184">
      <c r="A184" t="inlineStr">
        <is>
          <t>FOODS_2_349</t>
        </is>
      </c>
      <c r="B184" t="n">
        <v>3.906563944056329</v>
      </c>
      <c r="C184" t="n">
        <v>27.3459476083943</v>
      </c>
      <c r="D184" t="n">
        <v>28</v>
      </c>
      <c r="E184" s="15" t="n">
        <v>2</v>
      </c>
      <c r="F184">
        <f>C184+E184</f>
        <v/>
      </c>
      <c r="G184" t="n">
        <v>5.654052391605696</v>
      </c>
      <c r="H184" t="n">
        <v>116</v>
      </c>
      <c r="I184">
        <f>IF(H184=0,0,G184/H184)</f>
        <v/>
      </c>
      <c r="J184" t="n">
        <v>1</v>
      </c>
      <c r="K184" t="n">
        <v>4</v>
      </c>
      <c r="L184" t="n">
        <v>1</v>
      </c>
      <c r="M184" t="n">
        <v>16.20868808991144</v>
      </c>
      <c r="N184">
        <f>D184/2</f>
        <v/>
      </c>
      <c r="O184">
        <f>N184+E184</f>
        <v/>
      </c>
      <c r="P184">
        <f>I184&lt;0.05</f>
        <v/>
      </c>
    </row>
    <row r="185">
      <c r="A185" t="inlineStr">
        <is>
          <t>FOODS_2_351</t>
        </is>
      </c>
      <c r="B185" t="n">
        <v>1.820701088158158</v>
      </c>
      <c r="C185" t="n">
        <v>12.74490761710711</v>
      </c>
      <c r="D185" t="n">
        <v>13</v>
      </c>
      <c r="E185" s="15" t="n">
        <v>7</v>
      </c>
      <c r="F185">
        <f>C185+E185</f>
        <v/>
      </c>
      <c r="G185" t="n">
        <v>2.25509238289289</v>
      </c>
      <c r="H185" t="n">
        <v>52</v>
      </c>
      <c r="I185">
        <f>IF(H185=0,0,G185/H185)</f>
        <v/>
      </c>
      <c r="J185" t="n">
        <v>1</v>
      </c>
      <c r="K185" t="n">
        <v>4</v>
      </c>
      <c r="L185" t="n">
        <v>1</v>
      </c>
      <c r="M185" t="n">
        <v>13.80102523712499</v>
      </c>
      <c r="N185">
        <f>D185/2</f>
        <v/>
      </c>
      <c r="O185">
        <f>N185+E185</f>
        <v/>
      </c>
      <c r="P185">
        <f>I185&lt;0.05</f>
        <v/>
      </c>
    </row>
    <row r="186">
      <c r="A186" t="inlineStr">
        <is>
          <t>FOODS_2_352</t>
        </is>
      </c>
      <c r="B186" t="n">
        <v>6.885790535526774</v>
      </c>
      <c r="C186" t="n">
        <v>48.20053374868742</v>
      </c>
      <c r="D186" t="n">
        <v>49</v>
      </c>
      <c r="E186" s="15" t="n">
        <v>0</v>
      </c>
      <c r="F186">
        <f>C186+E186</f>
        <v/>
      </c>
      <c r="G186" t="n">
        <v>0</v>
      </c>
      <c r="H186" t="n">
        <v>162</v>
      </c>
      <c r="I186">
        <f>IF(H186=0,0,G186/H186)</f>
        <v/>
      </c>
      <c r="J186" t="n">
        <v>0</v>
      </c>
      <c r="K186" t="n">
        <v>4</v>
      </c>
      <c r="L186" t="n">
        <v>0</v>
      </c>
      <c r="M186" t="n">
        <v>28.55767660583029</v>
      </c>
      <c r="N186">
        <f>D186/2</f>
        <v/>
      </c>
      <c r="O186">
        <f>N186+E186</f>
        <v/>
      </c>
      <c r="P186">
        <f>I186&lt;0.05</f>
        <v/>
      </c>
    </row>
    <row r="187">
      <c r="A187" t="inlineStr">
        <is>
          <t>FOODS_2_356</t>
        </is>
      </c>
      <c r="B187" t="n">
        <v>2.021229648400642</v>
      </c>
      <c r="C187" t="n">
        <v>14.1486075388045</v>
      </c>
      <c r="D187" t="n">
        <v>15</v>
      </c>
      <c r="E187" s="15" t="n">
        <v>5</v>
      </c>
      <c r="F187">
        <f>C187+E187</f>
        <v/>
      </c>
      <c r="G187" t="n">
        <v>2.851392461195502</v>
      </c>
      <c r="H187" t="n">
        <v>76</v>
      </c>
      <c r="I187">
        <f>IF(H187=0,0,G187/H187)</f>
        <v/>
      </c>
      <c r="J187" t="n">
        <v>2</v>
      </c>
      <c r="K187" t="n">
        <v>5</v>
      </c>
      <c r="L187" t="n">
        <v>2</v>
      </c>
      <c r="M187" t="n">
        <v>9.496130186886678</v>
      </c>
      <c r="N187">
        <f>D187/2</f>
        <v/>
      </c>
      <c r="O187">
        <f>N187+E187</f>
        <v/>
      </c>
      <c r="P187">
        <f>I187&lt;0.05</f>
        <v/>
      </c>
    </row>
    <row r="188">
      <c r="A188" t="inlineStr">
        <is>
          <t>FOODS_2_357</t>
        </is>
      </c>
      <c r="B188" t="n">
        <v>1.865932375656816</v>
      </c>
      <c r="C188" t="n">
        <v>13.06152662959772</v>
      </c>
      <c r="D188" t="n">
        <v>14</v>
      </c>
      <c r="E188" s="15" t="n">
        <v>2</v>
      </c>
      <c r="F188">
        <f>C188+E188</f>
        <v/>
      </c>
      <c r="G188" t="n">
        <v>1.938473370402285</v>
      </c>
      <c r="H188" t="n">
        <v>54</v>
      </c>
      <c r="I188">
        <f>IF(H188=0,0,G188/H188)</f>
        <v/>
      </c>
      <c r="J188" t="n">
        <v>1</v>
      </c>
      <c r="K188" t="n">
        <v>4</v>
      </c>
      <c r="L188" t="n">
        <v>1</v>
      </c>
      <c r="M188" t="n">
        <v>10.010430686484</v>
      </c>
      <c r="N188">
        <f>D188/2</f>
        <v/>
      </c>
      <c r="O188">
        <f>N188+E188</f>
        <v/>
      </c>
      <c r="P188">
        <f>I188&lt;0.05</f>
        <v/>
      </c>
    </row>
    <row r="189">
      <c r="A189" t="inlineStr">
        <is>
          <t>FOODS_2_359</t>
        </is>
      </c>
      <c r="B189" t="n">
        <v>1.901270656086834</v>
      </c>
      <c r="C189" t="n">
        <v>13.30889459260784</v>
      </c>
      <c r="D189" t="n">
        <v>14</v>
      </c>
      <c r="E189" s="15" t="n">
        <v>2</v>
      </c>
      <c r="F189">
        <f>C189+E189</f>
        <v/>
      </c>
      <c r="G189" t="n">
        <v>2.691105407392165</v>
      </c>
      <c r="H189" t="n">
        <v>71</v>
      </c>
      <c r="I189">
        <f>IF(H189=0,0,G189/H189)</f>
        <v/>
      </c>
      <c r="J189" t="n">
        <v>2</v>
      </c>
      <c r="K189" t="n">
        <v>5</v>
      </c>
      <c r="L189" t="n">
        <v>2</v>
      </c>
      <c r="M189" t="n">
        <v>7.071986775139351</v>
      </c>
      <c r="N189">
        <f>D189/2</f>
        <v/>
      </c>
      <c r="O189">
        <f>N189+E189</f>
        <v/>
      </c>
      <c r="P189">
        <f>I189&lt;0.05</f>
        <v/>
      </c>
    </row>
    <row r="190">
      <c r="A190" t="inlineStr">
        <is>
          <t>FOODS_2_360</t>
        </is>
      </c>
      <c r="B190" t="n">
        <v>15.1395368088029</v>
      </c>
      <c r="C190" t="n">
        <v>105.9767576616203</v>
      </c>
      <c r="D190" t="n">
        <v>106</v>
      </c>
      <c r="E190" s="15" t="n">
        <v>1</v>
      </c>
      <c r="F190">
        <f>C190+E190</f>
        <v/>
      </c>
      <c r="G190" t="n">
        <v>17.0232423383797</v>
      </c>
      <c r="H190" t="n">
        <v>414</v>
      </c>
      <c r="I190">
        <f>IF(H190=0,0,G190/H190)</f>
        <v/>
      </c>
      <c r="J190" t="n">
        <v>1</v>
      </c>
      <c r="K190" t="n">
        <v>4</v>
      </c>
      <c r="L190" t="n">
        <v>1</v>
      </c>
      <c r="M190" t="n">
        <v>62.05980740223871</v>
      </c>
      <c r="N190">
        <f>D190/2</f>
        <v/>
      </c>
      <c r="O190">
        <f>N190+E190</f>
        <v/>
      </c>
      <c r="P190">
        <f>I190&lt;0.05</f>
        <v/>
      </c>
    </row>
    <row r="191">
      <c r="A191" t="inlineStr">
        <is>
          <t>FOODS_2_361</t>
        </is>
      </c>
      <c r="B191" t="n">
        <v>1.916969485198607</v>
      </c>
      <c r="C191" t="n">
        <v>13.41878639639025</v>
      </c>
      <c r="D191" t="n">
        <v>14</v>
      </c>
      <c r="E191" s="15" t="n">
        <v>3</v>
      </c>
      <c r="F191">
        <f>C191+E191</f>
        <v/>
      </c>
      <c r="G191" t="n">
        <v>1.581213603609747</v>
      </c>
      <c r="H191" t="n">
        <v>50</v>
      </c>
      <c r="I191">
        <f>IF(H191=0,0,G191/H191)</f>
        <v/>
      </c>
      <c r="J191" t="n">
        <v>1</v>
      </c>
      <c r="K191" t="n">
        <v>4</v>
      </c>
      <c r="L191" t="n">
        <v>1</v>
      </c>
      <c r="M191" t="n">
        <v>12.38887308236238</v>
      </c>
      <c r="N191">
        <f>D191/2</f>
        <v/>
      </c>
      <c r="O191">
        <f>N191+E191</f>
        <v/>
      </c>
      <c r="P191">
        <f>I191&lt;0.05</f>
        <v/>
      </c>
    </row>
    <row r="192">
      <c r="A192" t="inlineStr">
        <is>
          <t>FOODS_2_364</t>
        </is>
      </c>
      <c r="B192" t="n">
        <v>2.613032992746608</v>
      </c>
      <c r="C192" t="n">
        <v>18.29123094922625</v>
      </c>
      <c r="D192" t="n">
        <v>19</v>
      </c>
      <c r="E192" s="15" t="n">
        <v>0</v>
      </c>
      <c r="F192">
        <f>C192+E192</f>
        <v/>
      </c>
      <c r="G192" t="n">
        <v>0</v>
      </c>
      <c r="H192" t="n">
        <v>49</v>
      </c>
      <c r="I192">
        <f>IF(H192=0,0,G192/H192)</f>
        <v/>
      </c>
      <c r="J192" t="n">
        <v>0</v>
      </c>
      <c r="K192" t="n">
        <v>3</v>
      </c>
      <c r="L192" t="n">
        <v>0</v>
      </c>
      <c r="M192" t="n">
        <v>15.68408809208339</v>
      </c>
      <c r="N192">
        <f>D192/2</f>
        <v/>
      </c>
      <c r="O192">
        <f>N192+E192</f>
        <v/>
      </c>
      <c r="P192">
        <f>I192&lt;0.05</f>
        <v/>
      </c>
    </row>
    <row r="193">
      <c r="A193" t="inlineStr">
        <is>
          <t>FOODS_2_368</t>
        </is>
      </c>
      <c r="B193" t="n">
        <v>3.889880831738761</v>
      </c>
      <c r="C193" t="n">
        <v>27.22916582217133</v>
      </c>
      <c r="D193" t="n">
        <v>28</v>
      </c>
      <c r="E193" s="15" t="n">
        <v>3</v>
      </c>
      <c r="F193">
        <f>C193+E193</f>
        <v/>
      </c>
      <c r="G193" t="n">
        <v>4.770834177828672</v>
      </c>
      <c r="H193" t="n">
        <v>115</v>
      </c>
      <c r="I193">
        <f>IF(H193=0,0,G193/H193)</f>
        <v/>
      </c>
      <c r="J193" t="n">
        <v>2</v>
      </c>
      <c r="K193" t="n">
        <v>4</v>
      </c>
      <c r="L193" t="n">
        <v>1</v>
      </c>
      <c r="M193" t="n">
        <v>17.18303517139585</v>
      </c>
      <c r="N193">
        <f>D193/2</f>
        <v/>
      </c>
      <c r="O193">
        <f>N193+E193</f>
        <v/>
      </c>
      <c r="P193">
        <f>I193&lt;0.05</f>
        <v/>
      </c>
    </row>
    <row r="194">
      <c r="A194" t="inlineStr">
        <is>
          <t>FOODS_2_371</t>
        </is>
      </c>
      <c r="B194" t="n">
        <v>5.763836755818311</v>
      </c>
      <c r="C194" t="n">
        <v>40.34685729072817</v>
      </c>
      <c r="D194" t="n">
        <v>41</v>
      </c>
      <c r="E194" s="15" t="n">
        <v>1</v>
      </c>
      <c r="F194">
        <f>C194+E194</f>
        <v/>
      </c>
      <c r="G194" t="n">
        <v>2.653142709271826</v>
      </c>
      <c r="H194" t="n">
        <v>168</v>
      </c>
      <c r="I194">
        <f>IF(H194=0,0,G194/H194)</f>
        <v/>
      </c>
      <c r="J194" t="n">
        <v>1</v>
      </c>
      <c r="K194" t="n">
        <v>5</v>
      </c>
      <c r="L194" t="n">
        <v>1</v>
      </c>
      <c r="M194" t="n">
        <v>20.73246945640951</v>
      </c>
      <c r="N194">
        <f>D194/2</f>
        <v/>
      </c>
      <c r="O194">
        <f>N194+E194</f>
        <v/>
      </c>
      <c r="P194">
        <f>I194&lt;0.05</f>
        <v/>
      </c>
    </row>
    <row r="195">
      <c r="A195" t="inlineStr">
        <is>
          <t>FOODS_2_374</t>
        </is>
      </c>
      <c r="B195" t="n">
        <v>2.471745479323732</v>
      </c>
      <c r="C195" t="n">
        <v>17.30221835526612</v>
      </c>
      <c r="D195" t="n">
        <v>18</v>
      </c>
      <c r="E195" s="15" t="n">
        <v>1</v>
      </c>
      <c r="F195">
        <f>C195+E195</f>
        <v/>
      </c>
      <c r="G195" t="n">
        <v>3.69778164473388</v>
      </c>
      <c r="H195" t="n">
        <v>79</v>
      </c>
      <c r="I195">
        <f>IF(H195=0,0,G195/H195)</f>
        <v/>
      </c>
      <c r="J195" t="n">
        <v>2</v>
      </c>
      <c r="K195" t="n">
        <v>5</v>
      </c>
      <c r="L195" t="n">
        <v>2</v>
      </c>
      <c r="M195" t="n">
        <v>8.35047536184274</v>
      </c>
      <c r="N195">
        <f>D195/2</f>
        <v/>
      </c>
      <c r="O195">
        <f>N195+E195</f>
        <v/>
      </c>
      <c r="P195">
        <f>I195&lt;0.05</f>
        <v/>
      </c>
    </row>
    <row r="196">
      <c r="A196" t="inlineStr">
        <is>
          <t>FOODS_2_380</t>
        </is>
      </c>
      <c r="B196" t="n">
        <v>5.402139828246133</v>
      </c>
      <c r="C196" t="n">
        <v>37.81497879772293</v>
      </c>
      <c r="D196" t="n">
        <v>38</v>
      </c>
      <c r="E196" s="15" t="n">
        <v>5</v>
      </c>
      <c r="F196">
        <f>C196+E196</f>
        <v/>
      </c>
      <c r="G196" t="n">
        <v>8.185021202277071</v>
      </c>
      <c r="H196" t="n">
        <v>182</v>
      </c>
      <c r="I196">
        <f>IF(H196=0,0,G196/H196)</f>
        <v/>
      </c>
      <c r="J196" t="n">
        <v>2</v>
      </c>
      <c r="K196" t="n">
        <v>5</v>
      </c>
      <c r="L196" t="n">
        <v>2</v>
      </c>
      <c r="M196" t="n">
        <v>19.63892402808349</v>
      </c>
      <c r="N196">
        <f>D196/2</f>
        <v/>
      </c>
      <c r="O196">
        <f>N196+E196</f>
        <v/>
      </c>
      <c r="P196">
        <f>I196&lt;0.05</f>
        <v/>
      </c>
    </row>
    <row r="197">
      <c r="A197" t="inlineStr">
        <is>
          <t>FOODS_2_381</t>
        </is>
      </c>
      <c r="B197" t="n">
        <v>3.369913509647385</v>
      </c>
      <c r="C197" t="n">
        <v>23.58939456753169</v>
      </c>
      <c r="D197" t="n">
        <v>24</v>
      </c>
      <c r="E197" s="15" t="n">
        <v>1</v>
      </c>
      <c r="F197">
        <f>C197+E197</f>
        <v/>
      </c>
      <c r="G197" t="n">
        <v>2.410605432468309</v>
      </c>
      <c r="H197" t="n">
        <v>102</v>
      </c>
      <c r="I197">
        <f>IF(H197=0,0,G197/H197)</f>
        <v/>
      </c>
      <c r="J197" t="n">
        <v>2</v>
      </c>
      <c r="K197" t="n">
        <v>5</v>
      </c>
      <c r="L197" t="n">
        <v>2</v>
      </c>
      <c r="M197" t="n">
        <v>12.73344169304251</v>
      </c>
      <c r="N197">
        <f>D197/2</f>
        <v/>
      </c>
      <c r="O197">
        <f>N197+E197</f>
        <v/>
      </c>
      <c r="P197">
        <f>I197&lt;0.05</f>
        <v/>
      </c>
    </row>
    <row r="198">
      <c r="A198" t="inlineStr">
        <is>
          <t>FOODS_2_383</t>
        </is>
      </c>
      <c r="B198" t="n">
        <v>3.061071172425792</v>
      </c>
      <c r="C198" t="n">
        <v>21.42749820698055</v>
      </c>
      <c r="D198" t="n">
        <v>22</v>
      </c>
      <c r="E198" s="15" t="n">
        <v>0</v>
      </c>
      <c r="F198">
        <f>C198+E198</f>
        <v/>
      </c>
      <c r="G198" t="n">
        <v>1.572501793019452</v>
      </c>
      <c r="H198" t="n">
        <v>77</v>
      </c>
      <c r="I198">
        <f>IF(H198=0,0,G198/H198)</f>
        <v/>
      </c>
      <c r="J198" t="n">
        <v>1</v>
      </c>
      <c r="K198" t="n">
        <v>4</v>
      </c>
      <c r="L198" t="n">
        <v>1</v>
      </c>
      <c r="M198" t="n">
        <v>13.59598054194692</v>
      </c>
      <c r="N198">
        <f>D198/2</f>
        <v/>
      </c>
      <c r="O198">
        <f>N198+E198</f>
        <v/>
      </c>
      <c r="P198">
        <f>I198&lt;0.05</f>
        <v/>
      </c>
    </row>
    <row r="199">
      <c r="A199" t="inlineStr">
        <is>
          <t>FOODS_2_384</t>
        </is>
      </c>
      <c r="B199" t="n">
        <v>3.943480510480896</v>
      </c>
      <c r="C199" t="n">
        <v>27.60436357336627</v>
      </c>
      <c r="D199" t="n">
        <v>28</v>
      </c>
      <c r="E199" s="15" t="n">
        <v>0</v>
      </c>
      <c r="F199">
        <f>C199+E199</f>
        <v/>
      </c>
      <c r="G199" t="n">
        <v>2.395636426633729</v>
      </c>
      <c r="H199" t="n">
        <v>93</v>
      </c>
      <c r="I199">
        <f>IF(H199=0,0,G199/H199)</f>
        <v/>
      </c>
      <c r="J199" t="n">
        <v>1</v>
      </c>
      <c r="K199" t="n">
        <v>4</v>
      </c>
      <c r="L199" t="n">
        <v>1</v>
      </c>
      <c r="M199" t="n">
        <v>17.91088306288539</v>
      </c>
      <c r="N199">
        <f>D199/2</f>
        <v/>
      </c>
      <c r="O199">
        <f>N199+E199</f>
        <v/>
      </c>
      <c r="P199">
        <f>I199&lt;0.05</f>
        <v/>
      </c>
    </row>
    <row r="200">
      <c r="A200" t="inlineStr">
        <is>
          <t>FOODS_2_387</t>
        </is>
      </c>
      <c r="B200" t="n">
        <v>1.481817236899164</v>
      </c>
      <c r="C200" t="n">
        <v>10.37272065829415</v>
      </c>
      <c r="D200" t="n">
        <v>11</v>
      </c>
      <c r="E200" s="15" t="n">
        <v>10</v>
      </c>
      <c r="F200">
        <f>C200+E200</f>
        <v/>
      </c>
      <c r="G200" t="n">
        <v>2.627279341705851</v>
      </c>
      <c r="H200" t="n">
        <v>69</v>
      </c>
      <c r="I200">
        <f>IF(H200=0,0,G200/H200)</f>
        <v/>
      </c>
      <c r="J200" t="n">
        <v>1</v>
      </c>
      <c r="K200" t="n">
        <v>7</v>
      </c>
      <c r="L200" t="n">
        <v>1</v>
      </c>
      <c r="M200" t="n">
        <v>10.88181203984457</v>
      </c>
      <c r="N200">
        <f>D200/2</f>
        <v/>
      </c>
      <c r="O200">
        <f>N200+E200</f>
        <v/>
      </c>
      <c r="P200">
        <f>I200&lt;0.05</f>
        <v/>
      </c>
    </row>
    <row r="201">
      <c r="A201" t="inlineStr">
        <is>
          <t>FOODS_2_388</t>
        </is>
      </c>
      <c r="B201" t="n">
        <v>3.154297311941614</v>
      </c>
      <c r="C201" t="n">
        <v>22.0800811835913</v>
      </c>
      <c r="D201" t="n">
        <v>23</v>
      </c>
      <c r="E201" s="15" t="n">
        <v>0</v>
      </c>
      <c r="F201">
        <f>C201+E201</f>
        <v/>
      </c>
      <c r="G201" t="n">
        <v>0</v>
      </c>
      <c r="H201" t="n">
        <v>64</v>
      </c>
      <c r="I201">
        <f>IF(H201=0,0,G201/H201)</f>
        <v/>
      </c>
      <c r="J201" t="n">
        <v>0</v>
      </c>
      <c r="K201" t="n">
        <v>3</v>
      </c>
      <c r="L201" t="n">
        <v>0</v>
      </c>
      <c r="M201" t="n">
        <v>16.544366897877</v>
      </c>
      <c r="N201">
        <f>D201/2</f>
        <v/>
      </c>
      <c r="O201">
        <f>N201+E201</f>
        <v/>
      </c>
      <c r="P201">
        <f>I201&lt;0.05</f>
        <v/>
      </c>
    </row>
    <row r="202">
      <c r="A202" t="inlineStr">
        <is>
          <t>FOODS_2_391</t>
        </is>
      </c>
      <c r="B202" t="n">
        <v>1.796853529222247</v>
      </c>
      <c r="C202" t="n">
        <v>12.57797470455573</v>
      </c>
      <c r="D202" t="n">
        <v>13</v>
      </c>
      <c r="E202" s="15" t="n">
        <v>10</v>
      </c>
      <c r="F202">
        <f>C202+E202</f>
        <v/>
      </c>
      <c r="G202" t="n">
        <v>4.422025295444271</v>
      </c>
      <c r="H202" t="n">
        <v>91</v>
      </c>
      <c r="I202">
        <f>IF(H202=0,0,G202/H202)</f>
        <v/>
      </c>
      <c r="J202" t="n">
        <v>3</v>
      </c>
      <c r="K202" t="n">
        <v>7</v>
      </c>
      <c r="L202" t="n">
        <v>2</v>
      </c>
      <c r="M202" t="n">
        <v>8.227061491075464</v>
      </c>
      <c r="N202">
        <f>D202/2</f>
        <v/>
      </c>
      <c r="O202">
        <f>N202+E202</f>
        <v/>
      </c>
      <c r="P202">
        <f>I202&lt;0.05</f>
        <v/>
      </c>
    </row>
    <row r="203">
      <c r="A203" t="inlineStr">
        <is>
          <t>FOODS_2_396</t>
        </is>
      </c>
      <c r="B203" t="n">
        <v>2.61828340270949</v>
      </c>
      <c r="C203" t="n">
        <v>18.32798381896643</v>
      </c>
      <c r="D203" t="n">
        <v>19</v>
      </c>
      <c r="E203" s="15" t="n">
        <v>1</v>
      </c>
      <c r="F203">
        <f>C203+E203</f>
        <v/>
      </c>
      <c r="G203" t="n">
        <v>0.6720161810335732</v>
      </c>
      <c r="H203" t="n">
        <v>81</v>
      </c>
      <c r="I203">
        <f>IF(H203=0,0,G203/H203)</f>
        <v/>
      </c>
      <c r="J203" t="n">
        <v>1</v>
      </c>
      <c r="K203" t="n">
        <v>5</v>
      </c>
      <c r="L203" t="n">
        <v>1</v>
      </c>
      <c r="M203" t="n">
        <v>8.713139389778521</v>
      </c>
      <c r="N203">
        <f>D203/2</f>
        <v/>
      </c>
      <c r="O203">
        <f>N203+E203</f>
        <v/>
      </c>
      <c r="P203">
        <f>I203&lt;0.05</f>
        <v/>
      </c>
    </row>
    <row r="204">
      <c r="A204" t="inlineStr">
        <is>
          <t>FOODS_2_399</t>
        </is>
      </c>
      <c r="B204" t="n">
        <v>2.34993441854071</v>
      </c>
      <c r="C204" t="n">
        <v>16.44954092978497</v>
      </c>
      <c r="D204" t="n">
        <v>17</v>
      </c>
      <c r="E204" s="15" t="n">
        <v>2</v>
      </c>
      <c r="F204">
        <f>C204+E204</f>
        <v/>
      </c>
      <c r="G204" t="n">
        <v>3.55045907021503</v>
      </c>
      <c r="H204" t="n">
        <v>73</v>
      </c>
      <c r="I204">
        <f>IF(H204=0,0,G204/H204)</f>
        <v/>
      </c>
      <c r="J204" t="n">
        <v>2</v>
      </c>
      <c r="K204" t="n">
        <v>5</v>
      </c>
      <c r="L204" t="n">
        <v>2</v>
      </c>
      <c r="M204" t="n">
        <v>9.453473056382494</v>
      </c>
      <c r="N204">
        <f>D204/2</f>
        <v/>
      </c>
      <c r="O204">
        <f>N204+E204</f>
        <v/>
      </c>
      <c r="P204">
        <f>I204&lt;0.05</f>
        <v/>
      </c>
    </row>
    <row r="205">
      <c r="A205" t="inlineStr">
        <is>
          <t>FOODS_3_001</t>
        </is>
      </c>
      <c r="B205" t="n">
        <v>1.928514562253495</v>
      </c>
      <c r="C205" t="n">
        <v>13.49960193577447</v>
      </c>
      <c r="D205" t="n">
        <v>14</v>
      </c>
      <c r="E205" s="15" t="n">
        <v>11</v>
      </c>
      <c r="F205">
        <f>C205+E205</f>
        <v/>
      </c>
      <c r="G205" t="n">
        <v>2.500398064225532</v>
      </c>
      <c r="H205" t="n">
        <v>69</v>
      </c>
      <c r="I205">
        <f>IF(H205=0,0,G205/H205)</f>
        <v/>
      </c>
      <c r="J205" t="n">
        <v>1</v>
      </c>
      <c r="K205" t="n">
        <v>5</v>
      </c>
      <c r="L205" t="n">
        <v>1</v>
      </c>
      <c r="M205" t="n">
        <v>17.05318758092539</v>
      </c>
      <c r="N205">
        <f>D205/2</f>
        <v/>
      </c>
      <c r="O205">
        <f>N205+E205</f>
        <v/>
      </c>
      <c r="P205">
        <f>I205&lt;0.05</f>
        <v/>
      </c>
    </row>
    <row r="206">
      <c r="A206" t="inlineStr">
        <is>
          <t>FOODS_3_007</t>
        </is>
      </c>
      <c r="B206" t="n">
        <v>7.669209149054617</v>
      </c>
      <c r="C206" t="n">
        <v>53.68446404338232</v>
      </c>
      <c r="D206" t="n">
        <v>54</v>
      </c>
      <c r="E206" s="15" t="n">
        <v>0</v>
      </c>
      <c r="F206">
        <f>C206+E206</f>
        <v/>
      </c>
      <c r="G206" t="n">
        <v>0</v>
      </c>
      <c r="H206" t="n">
        <v>209</v>
      </c>
      <c r="I206">
        <f>IF(H206=0,0,G206/H206)</f>
        <v/>
      </c>
      <c r="J206" t="n">
        <v>0</v>
      </c>
      <c r="K206" t="n">
        <v>4</v>
      </c>
      <c r="L206" t="n">
        <v>0</v>
      </c>
      <c r="M206" t="n">
        <v>28.97017832909662</v>
      </c>
      <c r="N206">
        <f>D206/2</f>
        <v/>
      </c>
      <c r="O206">
        <f>N206+E206</f>
        <v/>
      </c>
      <c r="P206">
        <f>I206&lt;0.05</f>
        <v/>
      </c>
    </row>
    <row r="207">
      <c r="A207" t="inlineStr">
        <is>
          <t>FOODS_3_008</t>
        </is>
      </c>
      <c r="B207" t="n">
        <v>1.482419876125048</v>
      </c>
      <c r="C207" t="n">
        <v>10.37693913287533</v>
      </c>
      <c r="D207" t="n">
        <v>11</v>
      </c>
      <c r="E207" s="15" t="n">
        <v>14</v>
      </c>
      <c r="F207">
        <f>C207+E207</f>
        <v/>
      </c>
      <c r="G207" t="n">
        <v>2.623060867124664</v>
      </c>
      <c r="H207" t="n">
        <v>56</v>
      </c>
      <c r="I207">
        <f>IF(H207=0,0,G207/H207)</f>
        <v/>
      </c>
      <c r="J207" t="n">
        <v>2</v>
      </c>
      <c r="K207" t="n">
        <v>5</v>
      </c>
      <c r="L207" t="n">
        <v>1</v>
      </c>
      <c r="M207" t="n">
        <v>16.72885590210289</v>
      </c>
      <c r="N207">
        <f>D207/2</f>
        <v/>
      </c>
      <c r="O207">
        <f>N207+E207</f>
        <v/>
      </c>
      <c r="P207">
        <f>I207&lt;0.05</f>
        <v/>
      </c>
    </row>
    <row r="208">
      <c r="A208" t="inlineStr">
        <is>
          <t>FOODS_3_013</t>
        </is>
      </c>
      <c r="B208" t="n">
        <v>1.020516215699349</v>
      </c>
      <c r="C208" t="n">
        <v>7.143613509895443</v>
      </c>
      <c r="D208" t="n">
        <v>8</v>
      </c>
      <c r="E208" s="15" t="n">
        <v>10</v>
      </c>
      <c r="F208">
        <f>C208+E208</f>
        <v/>
      </c>
      <c r="G208" t="n">
        <v>1.856386490104555</v>
      </c>
      <c r="H208" t="n">
        <v>56</v>
      </c>
      <c r="I208">
        <f>IF(H208=0,0,G208/H208)</f>
        <v/>
      </c>
      <c r="J208" t="n">
        <v>1</v>
      </c>
      <c r="K208" t="n">
        <v>7</v>
      </c>
      <c r="L208" t="n">
        <v>1</v>
      </c>
      <c r="M208" t="n">
        <v>9.17894961209058</v>
      </c>
      <c r="N208">
        <f>D208/2</f>
        <v/>
      </c>
      <c r="O208">
        <f>N208+E208</f>
        <v/>
      </c>
      <c r="P208">
        <f>I208&lt;0.05</f>
        <v/>
      </c>
    </row>
    <row r="209">
      <c r="A209" t="inlineStr">
        <is>
          <t>FOODS_3_015</t>
        </is>
      </c>
      <c r="B209" t="n">
        <v>1.015312305777701</v>
      </c>
      <c r="C209" t="n">
        <v>7.107186140443908</v>
      </c>
      <c r="D209" t="n">
        <v>8</v>
      </c>
      <c r="E209" s="15" t="n">
        <v>12</v>
      </c>
      <c r="F209">
        <f>C209+E209</f>
        <v/>
      </c>
      <c r="G209" t="n">
        <v>2.892813859556092</v>
      </c>
      <c r="H209" t="n">
        <v>67</v>
      </c>
      <c r="I209">
        <f>IF(H209=0,0,G209/H209)</f>
        <v/>
      </c>
      <c r="J209" t="n">
        <v>2</v>
      </c>
      <c r="K209" t="n">
        <v>9</v>
      </c>
      <c r="L209" t="n">
        <v>1</v>
      </c>
      <c r="M209" t="n">
        <v>9.830389605332925</v>
      </c>
      <c r="N209">
        <f>D209/2</f>
        <v/>
      </c>
      <c r="O209">
        <f>N209+E209</f>
        <v/>
      </c>
      <c r="P209">
        <f>I209&lt;0.05</f>
        <v/>
      </c>
    </row>
    <row r="210">
      <c r="A210" t="inlineStr">
        <is>
          <t>FOODS_3_020</t>
        </is>
      </c>
      <c r="B210" t="n">
        <v>9.012002441070766</v>
      </c>
      <c r="C210" t="n">
        <v>63.08401708749537</v>
      </c>
      <c r="D210" t="n">
        <v>64</v>
      </c>
      <c r="E210" s="15" t="n">
        <v>0</v>
      </c>
      <c r="F210">
        <f>C210+E210</f>
        <v/>
      </c>
      <c r="G210" t="n">
        <v>0</v>
      </c>
      <c r="H210" t="n">
        <v>200</v>
      </c>
      <c r="I210">
        <f>IF(H210=0,0,G210/H210)</f>
        <v/>
      </c>
      <c r="J210" t="n">
        <v>0</v>
      </c>
      <c r="K210" t="n">
        <v>4</v>
      </c>
      <c r="L210" t="n">
        <v>0</v>
      </c>
      <c r="M210" t="n">
        <v>42.01258851606678</v>
      </c>
      <c r="N210">
        <f>D210/2</f>
        <v/>
      </c>
      <c r="O210">
        <f>N210+E210</f>
        <v/>
      </c>
      <c r="P210">
        <f>I210&lt;0.05</f>
        <v/>
      </c>
    </row>
    <row r="211">
      <c r="A211" t="inlineStr">
        <is>
          <t>FOODS_3_023</t>
        </is>
      </c>
      <c r="B211" t="n">
        <v>3.306288560316713</v>
      </c>
      <c r="C211" t="n">
        <v>23.14401992221699</v>
      </c>
      <c r="D211" t="n">
        <v>24</v>
      </c>
      <c r="E211" s="15" t="n">
        <v>1</v>
      </c>
      <c r="F211">
        <f>C211+E211</f>
        <v/>
      </c>
      <c r="G211" t="n">
        <v>3.855980077783009</v>
      </c>
      <c r="H211" t="n">
        <v>109</v>
      </c>
      <c r="I211">
        <f>IF(H211=0,0,G211/H211)</f>
        <v/>
      </c>
      <c r="J211" t="n">
        <v>3</v>
      </c>
      <c r="K211" t="n">
        <v>5</v>
      </c>
      <c r="L211" t="n">
        <v>2</v>
      </c>
      <c r="M211" t="n">
        <v>11.20943284047507</v>
      </c>
      <c r="N211">
        <f>D211/2</f>
        <v/>
      </c>
      <c r="O211">
        <f>N211+E211</f>
        <v/>
      </c>
      <c r="P211">
        <f>I211&lt;0.05</f>
        <v/>
      </c>
    </row>
    <row r="212">
      <c r="A212" t="inlineStr">
        <is>
          <t>FOODS_3_025</t>
        </is>
      </c>
      <c r="B212" t="n">
        <v>1.11717332650412</v>
      </c>
      <c r="C212" t="n">
        <v>7.820213285528841</v>
      </c>
      <c r="D212" t="n">
        <v>8</v>
      </c>
      <c r="E212" s="15" t="n">
        <v>13</v>
      </c>
      <c r="F212">
        <f>C212+E212</f>
        <v/>
      </c>
      <c r="G212" t="n">
        <v>3.17978671447116</v>
      </c>
      <c r="H212" t="n">
        <v>64</v>
      </c>
      <c r="I212">
        <f>IF(H212=0,0,G212/H212)</f>
        <v/>
      </c>
      <c r="J212" t="n">
        <v>2</v>
      </c>
      <c r="K212" t="n">
        <v>8</v>
      </c>
      <c r="L212" t="n">
        <v>2</v>
      </c>
      <c r="M212" t="n">
        <v>9.140843780499653</v>
      </c>
      <c r="N212">
        <f>D212/2</f>
        <v/>
      </c>
      <c r="O212">
        <f>N212+E212</f>
        <v/>
      </c>
      <c r="P212">
        <f>I212&lt;0.05</f>
        <v/>
      </c>
    </row>
    <row r="213">
      <c r="A213" t="inlineStr">
        <is>
          <t>FOODS_3_030</t>
        </is>
      </c>
      <c r="B213" t="n">
        <v>7.034216976442243</v>
      </c>
      <c r="C213" t="n">
        <v>49.2395188350957</v>
      </c>
      <c r="D213" t="n">
        <v>50</v>
      </c>
      <c r="E213" s="15" t="n">
        <v>0</v>
      </c>
      <c r="F213">
        <f>C213+E213</f>
        <v/>
      </c>
      <c r="G213" t="n">
        <v>7.760481164904299</v>
      </c>
      <c r="H213" t="n">
        <v>197</v>
      </c>
      <c r="I213">
        <f>IF(H213=0,0,G213/H213)</f>
        <v/>
      </c>
      <c r="J213" t="n">
        <v>2</v>
      </c>
      <c r="K213" t="n">
        <v>4</v>
      </c>
      <c r="L213" t="n">
        <v>1</v>
      </c>
      <c r="M213" t="n">
        <v>26.92963912632178</v>
      </c>
      <c r="N213">
        <f>D213/2</f>
        <v/>
      </c>
      <c r="O213">
        <f>N213+E213</f>
        <v/>
      </c>
      <c r="P213">
        <f>I213&lt;0.05</f>
        <v/>
      </c>
    </row>
    <row r="214">
      <c r="A214" t="inlineStr">
        <is>
          <t>FOODS_3_032</t>
        </is>
      </c>
      <c r="B214" t="n">
        <v>2.533701219370497</v>
      </c>
      <c r="C214" t="n">
        <v>17.73590853559348</v>
      </c>
      <c r="D214" t="n">
        <v>18</v>
      </c>
      <c r="E214" s="15" t="n">
        <v>0</v>
      </c>
      <c r="F214">
        <f>C214+E214</f>
        <v/>
      </c>
      <c r="G214" t="n">
        <v>0</v>
      </c>
      <c r="H214" t="n">
        <v>64</v>
      </c>
      <c r="I214">
        <f>IF(H214=0,0,G214/H214)</f>
        <v/>
      </c>
      <c r="J214" t="n">
        <v>0</v>
      </c>
      <c r="K214" t="n">
        <v>4</v>
      </c>
      <c r="L214" t="n">
        <v>0</v>
      </c>
      <c r="M214" t="n">
        <v>12.27162282130776</v>
      </c>
      <c r="N214">
        <f>D214/2</f>
        <v/>
      </c>
      <c r="O214">
        <f>N214+E214</f>
        <v/>
      </c>
      <c r="P214">
        <f>I214&lt;0.05</f>
        <v/>
      </c>
    </row>
    <row r="215">
      <c r="A215" t="inlineStr">
        <is>
          <t>FOODS_3_034</t>
        </is>
      </c>
      <c r="B215" t="n">
        <v>2.104520425794042</v>
      </c>
      <c r="C215" t="n">
        <v>14.73164298055829</v>
      </c>
      <c r="D215" t="n">
        <v>15</v>
      </c>
      <c r="E215" s="15" t="n">
        <v>5</v>
      </c>
      <c r="F215">
        <f>C215+E215</f>
        <v/>
      </c>
      <c r="G215" t="n">
        <v>3.268357019441709</v>
      </c>
      <c r="H215" t="n">
        <v>83</v>
      </c>
      <c r="I215">
        <f>IF(H215=0,0,G215/H215)</f>
        <v/>
      </c>
      <c r="J215" t="n">
        <v>2</v>
      </c>
      <c r="K215" t="n">
        <v>6</v>
      </c>
      <c r="L215" t="n">
        <v>1</v>
      </c>
      <c r="M215" t="n">
        <v>7.761301064485104</v>
      </c>
      <c r="N215">
        <f>D215/2</f>
        <v/>
      </c>
      <c r="O215">
        <f>N215+E215</f>
        <v/>
      </c>
      <c r="P215">
        <f>I215&lt;0.05</f>
        <v/>
      </c>
    </row>
    <row r="216">
      <c r="A216" t="inlineStr">
        <is>
          <t>FOODS_3_037</t>
        </is>
      </c>
      <c r="B216" t="n">
        <v>4.489787172430562</v>
      </c>
      <c r="C216" t="n">
        <v>31.42851020701394</v>
      </c>
      <c r="D216" t="n">
        <v>32</v>
      </c>
      <c r="E216" s="15" t="n">
        <v>0</v>
      </c>
      <c r="F216">
        <f>C216+E216</f>
        <v/>
      </c>
      <c r="G216" t="n">
        <v>0</v>
      </c>
      <c r="H216" t="n">
        <v>95</v>
      </c>
      <c r="I216">
        <f>IF(H216=0,0,G216/H216)</f>
        <v/>
      </c>
      <c r="J216" t="n">
        <v>0</v>
      </c>
      <c r="K216" t="n">
        <v>3</v>
      </c>
      <c r="L216" t="n">
        <v>0</v>
      </c>
      <c r="M216" t="n">
        <v>23.03565306415678</v>
      </c>
      <c r="N216">
        <f>D216/2</f>
        <v/>
      </c>
      <c r="O216">
        <f>N216+E216</f>
        <v/>
      </c>
      <c r="P216">
        <f>I216&lt;0.05</f>
        <v/>
      </c>
    </row>
    <row r="217">
      <c r="A217" t="inlineStr">
        <is>
          <t>FOODS_3_039</t>
        </is>
      </c>
      <c r="B217" t="n">
        <v>6.775620533625735</v>
      </c>
      <c r="C217" t="n">
        <v>47.42934373538014</v>
      </c>
      <c r="D217" t="n">
        <v>48</v>
      </c>
      <c r="E217" s="15" t="n">
        <v>0</v>
      </c>
      <c r="F217">
        <f>C217+E217</f>
        <v/>
      </c>
      <c r="G217" t="n">
        <v>9.570656264619856</v>
      </c>
      <c r="H217" t="n">
        <v>201</v>
      </c>
      <c r="I217">
        <f>IF(H217=0,0,G217/H217)</f>
        <v/>
      </c>
      <c r="J217" t="n">
        <v>2</v>
      </c>
      <c r="K217" t="n">
        <v>4</v>
      </c>
      <c r="L217" t="n">
        <v>2</v>
      </c>
      <c r="M217" t="n">
        <v>23.52095981098582</v>
      </c>
      <c r="N217">
        <f>D217/2</f>
        <v/>
      </c>
      <c r="O217">
        <f>N217+E217</f>
        <v/>
      </c>
      <c r="P217">
        <f>I217&lt;0.05</f>
        <v/>
      </c>
    </row>
    <row r="218">
      <c r="A218" t="inlineStr">
        <is>
          <t>FOODS_3_041</t>
        </is>
      </c>
      <c r="B218" t="n">
        <v>3.862213029129825</v>
      </c>
      <c r="C218" t="n">
        <v>27.03549120390877</v>
      </c>
      <c r="D218" t="n">
        <v>28</v>
      </c>
      <c r="E218" s="15" t="n">
        <v>1</v>
      </c>
      <c r="F218">
        <f>C218+E218</f>
        <v/>
      </c>
      <c r="G218" t="n">
        <v>4.964508796091227</v>
      </c>
      <c r="H218" t="n">
        <v>119</v>
      </c>
      <c r="I218">
        <f>IF(H218=0,0,G218/H218)</f>
        <v/>
      </c>
      <c r="J218" t="n">
        <v>1</v>
      </c>
      <c r="K218" t="n">
        <v>5</v>
      </c>
      <c r="L218" t="n">
        <v>1</v>
      </c>
      <c r="M218" t="n">
        <v>14.93617668655188</v>
      </c>
      <c r="N218">
        <f>D218/2</f>
        <v/>
      </c>
      <c r="O218">
        <f>N218+E218</f>
        <v/>
      </c>
      <c r="P218">
        <f>I218&lt;0.05</f>
        <v/>
      </c>
    </row>
    <row r="219">
      <c r="A219" t="inlineStr">
        <is>
          <t>FOODS_3_042</t>
        </is>
      </c>
      <c r="B219" t="n">
        <v>2.108592287703051</v>
      </c>
      <c r="C219" t="n">
        <v>14.76014601392136</v>
      </c>
      <c r="D219" t="n">
        <v>15</v>
      </c>
      <c r="E219" s="15" t="n">
        <v>5</v>
      </c>
      <c r="F219">
        <f>C219+E219</f>
        <v/>
      </c>
      <c r="G219" t="n">
        <v>3.239853986078643</v>
      </c>
      <c r="H219" t="n">
        <v>83</v>
      </c>
      <c r="I219">
        <f>IF(H219=0,0,G219/H219)</f>
        <v/>
      </c>
      <c r="J219" t="n">
        <v>3</v>
      </c>
      <c r="K219" t="n">
        <v>6</v>
      </c>
      <c r="L219" t="n">
        <v>3</v>
      </c>
      <c r="M219" t="n">
        <v>8.361491148823438</v>
      </c>
      <c r="N219">
        <f>D219/2</f>
        <v/>
      </c>
      <c r="O219">
        <f>N219+E219</f>
        <v/>
      </c>
      <c r="P219">
        <f>I219&lt;0.05</f>
        <v/>
      </c>
    </row>
    <row r="220">
      <c r="A220" t="inlineStr">
        <is>
          <t>FOODS_3_053</t>
        </is>
      </c>
      <c r="B220" t="n">
        <v>3.177678477338954</v>
      </c>
      <c r="C220" t="n">
        <v>22.24374934137268</v>
      </c>
      <c r="D220" t="n">
        <v>23</v>
      </c>
      <c r="E220" s="15" t="n">
        <v>0</v>
      </c>
      <c r="F220">
        <f>C220+E220</f>
        <v/>
      </c>
      <c r="G220" t="n">
        <v>0</v>
      </c>
      <c r="H220" t="n">
        <v>62</v>
      </c>
      <c r="I220">
        <f>IF(H220=0,0,G220/H220)</f>
        <v/>
      </c>
      <c r="J220" t="n">
        <v>0</v>
      </c>
      <c r="K220" t="n">
        <v>3</v>
      </c>
      <c r="L220" t="n">
        <v>0</v>
      </c>
      <c r="M220" t="n">
        <v>17.99374934137268</v>
      </c>
      <c r="N220">
        <f>D220/2</f>
        <v/>
      </c>
      <c r="O220">
        <f>N220+E220</f>
        <v/>
      </c>
      <c r="P220">
        <f>I220&lt;0.05</f>
        <v/>
      </c>
    </row>
    <row r="221">
      <c r="A221" t="inlineStr">
        <is>
          <t>FOODS_3_054</t>
        </is>
      </c>
      <c r="B221" t="n">
        <v>1.616555317145676</v>
      </c>
      <c r="C221" t="n">
        <v>11.31588722001973</v>
      </c>
      <c r="D221" t="n">
        <v>12</v>
      </c>
      <c r="E221" s="15" t="n">
        <v>41</v>
      </c>
      <c r="F221">
        <f>C221+E221</f>
        <v/>
      </c>
      <c r="G221" t="n">
        <v>5.684112779980268</v>
      </c>
      <c r="H221" t="n">
        <v>126</v>
      </c>
      <c r="I221">
        <f>IF(H221=0,0,G221/H221)</f>
        <v/>
      </c>
      <c r="J221" t="n">
        <v>1</v>
      </c>
      <c r="K221" t="n">
        <v>10</v>
      </c>
      <c r="L221" t="n">
        <v>1</v>
      </c>
      <c r="M221" t="n">
        <v>32.8064747600169</v>
      </c>
      <c r="N221">
        <f>D221/2</f>
        <v/>
      </c>
      <c r="O221">
        <f>N221+E221</f>
        <v/>
      </c>
      <c r="P221">
        <f>I221&lt;0.05</f>
        <v/>
      </c>
    </row>
    <row r="222">
      <c r="A222" t="inlineStr">
        <is>
          <t>FOODS_3_058</t>
        </is>
      </c>
      <c r="B222" t="n">
        <v>2.062026913842564</v>
      </c>
      <c r="C222" t="n">
        <v>14.43418839689795</v>
      </c>
      <c r="D222" t="n">
        <v>15</v>
      </c>
      <c r="E222" s="15" t="n">
        <v>3</v>
      </c>
      <c r="F222">
        <f>C222+E222</f>
        <v/>
      </c>
      <c r="G222" t="n">
        <v>2.565811603102055</v>
      </c>
      <c r="H222" t="n">
        <v>60</v>
      </c>
      <c r="I222">
        <f>IF(H222=0,0,G222/H222)</f>
        <v/>
      </c>
      <c r="J222" t="n">
        <v>1</v>
      </c>
      <c r="K222" t="n">
        <v>4</v>
      </c>
      <c r="L222" t="n">
        <v>1</v>
      </c>
      <c r="M222" t="n">
        <v>11.10525051251311</v>
      </c>
      <c r="N222">
        <f>D222/2</f>
        <v/>
      </c>
      <c r="O222">
        <f>N222+E222</f>
        <v/>
      </c>
      <c r="P222">
        <f>I222&lt;0.05</f>
        <v/>
      </c>
    </row>
    <row r="223">
      <c r="A223" t="inlineStr">
        <is>
          <t>FOODS_3_059</t>
        </is>
      </c>
      <c r="B223" t="n">
        <v>2.988822960184739</v>
      </c>
      <c r="C223" t="n">
        <v>20.92176072129317</v>
      </c>
      <c r="D223" t="n">
        <v>21</v>
      </c>
      <c r="E223" s="15" t="n">
        <v>6</v>
      </c>
      <c r="F223">
        <f>C223+E223</f>
        <v/>
      </c>
      <c r="G223" t="n">
        <v>3.078239278706832</v>
      </c>
      <c r="H223" t="n">
        <v>72</v>
      </c>
      <c r="I223">
        <f>IF(H223=0,0,G223/H223)</f>
        <v/>
      </c>
      <c r="J223" t="n">
        <v>2</v>
      </c>
      <c r="K223" t="n">
        <v>4</v>
      </c>
      <c r="L223" t="n">
        <v>1</v>
      </c>
      <c r="M223" t="n">
        <v>25.18293776110842</v>
      </c>
      <c r="N223">
        <f>D223/2</f>
        <v/>
      </c>
      <c r="O223">
        <f>N223+E223</f>
        <v/>
      </c>
      <c r="P223">
        <f>I223&lt;0.05</f>
        <v/>
      </c>
    </row>
    <row r="224">
      <c r="A224" t="inlineStr">
        <is>
          <t>FOODS_3_064</t>
        </is>
      </c>
      <c r="B224" t="n">
        <v>5.022643830291631</v>
      </c>
      <c r="C224" t="n">
        <v>35.15850681204142</v>
      </c>
      <c r="D224" t="n">
        <v>36</v>
      </c>
      <c r="E224" s="15" t="n">
        <v>0</v>
      </c>
      <c r="F224">
        <f>C224+E224</f>
        <v/>
      </c>
      <c r="G224" t="n">
        <v>3.841493187958584</v>
      </c>
      <c r="H224" t="n">
        <v>119</v>
      </c>
      <c r="I224">
        <f>IF(H224=0,0,G224/H224)</f>
        <v/>
      </c>
      <c r="J224" t="n">
        <v>2</v>
      </c>
      <c r="K224" t="n">
        <v>4</v>
      </c>
      <c r="L224" t="n">
        <v>1</v>
      </c>
      <c r="M224" t="n">
        <v>24.45687621643597</v>
      </c>
      <c r="N224">
        <f>D224/2</f>
        <v/>
      </c>
      <c r="O224">
        <f>N224+E224</f>
        <v/>
      </c>
      <c r="P224">
        <f>I224&lt;0.05</f>
        <v/>
      </c>
    </row>
    <row r="225">
      <c r="A225" t="inlineStr">
        <is>
          <t>FOODS_3_066</t>
        </is>
      </c>
      <c r="B225" t="n">
        <v>6.752514279778707</v>
      </c>
      <c r="C225" t="n">
        <v>47.26759995845095</v>
      </c>
      <c r="D225" t="n">
        <v>48</v>
      </c>
      <c r="E225" s="15" t="n">
        <v>0</v>
      </c>
      <c r="F225">
        <f>C225+E225</f>
        <v/>
      </c>
      <c r="G225" t="n">
        <v>0</v>
      </c>
      <c r="H225" t="n">
        <v>168</v>
      </c>
      <c r="I225">
        <f>IF(H225=0,0,G225/H225)</f>
        <v/>
      </c>
      <c r="J225" t="n">
        <v>0</v>
      </c>
      <c r="K225" t="n">
        <v>4</v>
      </c>
      <c r="L225" t="n">
        <v>0</v>
      </c>
      <c r="M225" t="n">
        <v>29.87474281559382</v>
      </c>
      <c r="N225">
        <f>D225/2</f>
        <v/>
      </c>
      <c r="O225">
        <f>N225+E225</f>
        <v/>
      </c>
      <c r="P225">
        <f>I225&lt;0.05</f>
        <v/>
      </c>
    </row>
    <row r="226">
      <c r="A226" t="inlineStr">
        <is>
          <t>FOODS_3_067</t>
        </is>
      </c>
      <c r="B226" t="n">
        <v>3.551429350634482</v>
      </c>
      <c r="C226" t="n">
        <v>24.86000545444137</v>
      </c>
      <c r="D226" t="n">
        <v>25</v>
      </c>
      <c r="E226" s="15" t="n">
        <v>6</v>
      </c>
      <c r="F226">
        <f>C226+E226</f>
        <v/>
      </c>
      <c r="G226" t="n">
        <v>6.139994545558626</v>
      </c>
      <c r="H226" t="n">
        <v>133</v>
      </c>
      <c r="I226">
        <f>IF(H226=0,0,G226/H226)</f>
        <v/>
      </c>
      <c r="J226" t="n">
        <v>2</v>
      </c>
      <c r="K226" t="n">
        <v>6</v>
      </c>
      <c r="L226" t="n">
        <v>2</v>
      </c>
      <c r="M226" t="n">
        <v>14.25571545452315</v>
      </c>
      <c r="N226">
        <f>D226/2</f>
        <v/>
      </c>
      <c r="O226">
        <f>N226+E226</f>
        <v/>
      </c>
      <c r="P226">
        <f>I226&lt;0.05</f>
        <v/>
      </c>
    </row>
    <row r="227">
      <c r="A227" t="inlineStr">
        <is>
          <t>FOODS_3_070</t>
        </is>
      </c>
      <c r="B227" t="n">
        <v>5.221729846279385</v>
      </c>
      <c r="C227" t="n">
        <v>36.55210892395569</v>
      </c>
      <c r="D227" t="n">
        <v>37</v>
      </c>
      <c r="E227" s="15" t="n">
        <v>2</v>
      </c>
      <c r="F227">
        <f>C227+E227</f>
        <v/>
      </c>
      <c r="G227" t="n">
        <v>7.447891076044307</v>
      </c>
      <c r="H227" t="n">
        <v>150</v>
      </c>
      <c r="I227">
        <f>IF(H227=0,0,G227/H227)</f>
        <v/>
      </c>
      <c r="J227" t="n">
        <v>2</v>
      </c>
      <c r="K227" t="n">
        <v>4</v>
      </c>
      <c r="L227" t="n">
        <v>1</v>
      </c>
      <c r="M227" t="n">
        <v>26.20573373642066</v>
      </c>
      <c r="N227">
        <f>D227/2</f>
        <v/>
      </c>
      <c r="O227">
        <f>N227+E227</f>
        <v/>
      </c>
      <c r="P227">
        <f>I227&lt;0.05</f>
        <v/>
      </c>
    </row>
    <row r="228">
      <c r="A228" t="inlineStr">
        <is>
          <t>FOODS_3_071</t>
        </is>
      </c>
      <c r="B228" t="n">
        <v>1.638919181260154</v>
      </c>
      <c r="C228" t="n">
        <v>11.47243426882108</v>
      </c>
      <c r="D228" t="n">
        <v>12</v>
      </c>
      <c r="E228" s="15" t="n">
        <v>14</v>
      </c>
      <c r="F228">
        <f>C228+E228</f>
        <v/>
      </c>
      <c r="G228" t="n">
        <v>3.527565731178925</v>
      </c>
      <c r="H228" t="n">
        <v>79</v>
      </c>
      <c r="I228">
        <f>IF(H228=0,0,G228/H228)</f>
        <v/>
      </c>
      <c r="J228" t="n">
        <v>2</v>
      </c>
      <c r="K228" t="n">
        <v>7</v>
      </c>
      <c r="L228" t="n">
        <v>1</v>
      </c>
      <c r="M228" t="n">
        <v>14.83548406835942</v>
      </c>
      <c r="N228">
        <f>D228/2</f>
        <v/>
      </c>
      <c r="O228">
        <f>N228+E228</f>
        <v/>
      </c>
      <c r="P228">
        <f>I228&lt;0.05</f>
        <v/>
      </c>
    </row>
    <row r="229">
      <c r="A229" t="inlineStr">
        <is>
          <t>FOODS_3_074</t>
        </is>
      </c>
      <c r="B229" t="n">
        <v>2.055413595280139</v>
      </c>
      <c r="C229" t="n">
        <v>14.38789516696097</v>
      </c>
      <c r="D229" t="n">
        <v>15</v>
      </c>
      <c r="E229" s="15" t="n">
        <v>1</v>
      </c>
      <c r="F229">
        <f>C229+E229</f>
        <v/>
      </c>
      <c r="G229" t="n">
        <v>3.612104833039027</v>
      </c>
      <c r="H229" t="n">
        <v>79</v>
      </c>
      <c r="I229">
        <f>IF(H229=0,0,G229/H229)</f>
        <v/>
      </c>
      <c r="J229" t="n">
        <v>4</v>
      </c>
      <c r="K229" t="n">
        <v>6</v>
      </c>
      <c r="L229" t="n">
        <v>3</v>
      </c>
      <c r="M229" t="n">
        <v>5.583120392920208</v>
      </c>
      <c r="N229">
        <f>D229/2</f>
        <v/>
      </c>
      <c r="O229">
        <f>N229+E229</f>
        <v/>
      </c>
      <c r="P229">
        <f>I229&lt;0.05</f>
        <v/>
      </c>
    </row>
    <row r="230">
      <c r="A230" t="inlineStr">
        <is>
          <t>FOODS_3_076</t>
        </is>
      </c>
      <c r="B230" t="n">
        <v>7.390542419694836</v>
      </c>
      <c r="C230" t="n">
        <v>51.73379693786385</v>
      </c>
      <c r="D230" t="n">
        <v>52</v>
      </c>
      <c r="E230" s="15" t="n">
        <v>0</v>
      </c>
      <c r="F230">
        <f>C230+E230</f>
        <v/>
      </c>
      <c r="G230" t="n">
        <v>0</v>
      </c>
      <c r="H230" t="n">
        <v>150</v>
      </c>
      <c r="I230">
        <f>IF(H230=0,0,G230/H230)</f>
        <v/>
      </c>
      <c r="J230" t="n">
        <v>0</v>
      </c>
      <c r="K230" t="n">
        <v>3</v>
      </c>
      <c r="L230" t="n">
        <v>0</v>
      </c>
      <c r="M230" t="n">
        <v>40.76951122357815</v>
      </c>
      <c r="N230">
        <f>D230/2</f>
        <v/>
      </c>
      <c r="O230">
        <f>N230+E230</f>
        <v/>
      </c>
      <c r="P230">
        <f>I230&lt;0.05</f>
        <v/>
      </c>
    </row>
    <row r="231">
      <c r="A231" t="inlineStr">
        <is>
          <t>FOODS_3_077</t>
        </is>
      </c>
      <c r="B231" t="n">
        <v>1.027134517436188</v>
      </c>
      <c r="C231" t="n">
        <v>7.189941622053315</v>
      </c>
      <c r="D231" t="n">
        <v>8</v>
      </c>
      <c r="E231" s="15" t="n">
        <v>14</v>
      </c>
      <c r="F231">
        <f>C231+E231</f>
        <v/>
      </c>
      <c r="G231" t="n">
        <v>2.810058377946685</v>
      </c>
      <c r="H231" t="n">
        <v>66</v>
      </c>
      <c r="I231">
        <f>IF(H231=0,0,G231/H231)</f>
        <v/>
      </c>
      <c r="J231" t="n">
        <v>2</v>
      </c>
      <c r="K231" t="n">
        <v>8</v>
      </c>
      <c r="L231" t="n">
        <v>2</v>
      </c>
      <c r="M231" t="n">
        <v>12.50817884196094</v>
      </c>
      <c r="N231">
        <f>D231/2</f>
        <v/>
      </c>
      <c r="O231">
        <f>N231+E231</f>
        <v/>
      </c>
      <c r="P231">
        <f>I231&lt;0.05</f>
        <v/>
      </c>
    </row>
    <row r="232">
      <c r="A232" t="inlineStr">
        <is>
          <t>FOODS_3_079</t>
        </is>
      </c>
      <c r="B232" t="n">
        <v>2.564335329200386</v>
      </c>
      <c r="C232" t="n">
        <v>17.9503473044027</v>
      </c>
      <c r="D232" t="n">
        <v>18</v>
      </c>
      <c r="E232" s="15" t="n">
        <v>0</v>
      </c>
      <c r="F232">
        <f>C232+E232</f>
        <v/>
      </c>
      <c r="G232" t="n">
        <v>0</v>
      </c>
      <c r="H232" t="n">
        <v>57</v>
      </c>
      <c r="I232">
        <f>IF(H232=0,0,G232/H232)</f>
        <v/>
      </c>
      <c r="J232" t="n">
        <v>0</v>
      </c>
      <c r="K232" t="n">
        <v>4</v>
      </c>
      <c r="L232" t="n">
        <v>0</v>
      </c>
      <c r="M232" t="n">
        <v>13.48606159011699</v>
      </c>
      <c r="N232">
        <f>D232/2</f>
        <v/>
      </c>
      <c r="O232">
        <f>N232+E232</f>
        <v/>
      </c>
      <c r="P232">
        <f>I232&lt;0.05</f>
        <v/>
      </c>
    </row>
    <row r="233">
      <c r="A233" t="inlineStr">
        <is>
          <t>FOODS_3_080</t>
        </is>
      </c>
      <c r="B233" t="n">
        <v>12.18625312956361</v>
      </c>
      <c r="C233" t="n">
        <v>85.30377190694524</v>
      </c>
      <c r="D233" t="n">
        <v>86</v>
      </c>
      <c r="E233" s="15" t="n">
        <v>2</v>
      </c>
      <c r="F233">
        <f>C233+E233</f>
        <v/>
      </c>
      <c r="G233" t="n">
        <v>18.69622809305476</v>
      </c>
      <c r="H233" t="n">
        <v>393</v>
      </c>
      <c r="I233">
        <f>IF(H233=0,0,G233/H233)</f>
        <v/>
      </c>
      <c r="J233" t="n">
        <v>2</v>
      </c>
      <c r="K233" t="n">
        <v>5</v>
      </c>
      <c r="L233" t="n">
        <v>1</v>
      </c>
      <c r="M233" t="n">
        <v>42.70613093685571</v>
      </c>
      <c r="N233">
        <f>D233/2</f>
        <v/>
      </c>
      <c r="O233">
        <f>N233+E233</f>
        <v/>
      </c>
      <c r="P233">
        <f>I233&lt;0.05</f>
        <v/>
      </c>
    </row>
    <row r="234">
      <c r="A234" t="inlineStr">
        <is>
          <t>FOODS_3_083</t>
        </is>
      </c>
      <c r="B234" t="n">
        <v>3.038888913732843</v>
      </c>
      <c r="C234" t="n">
        <v>21.2722223961299</v>
      </c>
      <c r="D234" t="n">
        <v>22</v>
      </c>
      <c r="E234" s="15" t="n">
        <v>8</v>
      </c>
      <c r="F234">
        <f>C234+E234</f>
        <v/>
      </c>
      <c r="G234" t="n">
        <v>3.727777603870102</v>
      </c>
      <c r="H234" t="n">
        <v>92</v>
      </c>
      <c r="I234">
        <f>IF(H234=0,0,G234/H234)</f>
        <v/>
      </c>
      <c r="J234" t="n">
        <v>1</v>
      </c>
      <c r="K234" t="n">
        <v>5</v>
      </c>
      <c r="L234" t="n">
        <v>1</v>
      </c>
      <c r="M234" t="n">
        <v>17.49325405520781</v>
      </c>
      <c r="N234">
        <f>D234/2</f>
        <v/>
      </c>
      <c r="O234">
        <f>N234+E234</f>
        <v/>
      </c>
      <c r="P234">
        <f>I234&lt;0.05</f>
        <v/>
      </c>
    </row>
    <row r="235">
      <c r="A235" t="inlineStr">
        <is>
          <t>FOODS_3_086</t>
        </is>
      </c>
      <c r="B235" t="n">
        <v>12.09970482045902</v>
      </c>
      <c r="C235" t="n">
        <v>84.69793374321313</v>
      </c>
      <c r="D235" t="n">
        <v>85</v>
      </c>
      <c r="E235" s="15" t="n">
        <v>107</v>
      </c>
      <c r="F235">
        <f>C235+E235</f>
        <v/>
      </c>
      <c r="G235" t="n">
        <v>27.30206625678687</v>
      </c>
      <c r="H235" t="n">
        <v>559</v>
      </c>
      <c r="I235">
        <f>IF(H235=0,0,G235/H235)</f>
        <v/>
      </c>
      <c r="J235" t="n">
        <v>1</v>
      </c>
      <c r="K235" t="n">
        <v>7</v>
      </c>
      <c r="L235" t="n">
        <v>1</v>
      </c>
      <c r="M235" t="n">
        <v>115.0658646809555</v>
      </c>
      <c r="N235">
        <f>D235/2</f>
        <v/>
      </c>
      <c r="O235">
        <f>N235+E235</f>
        <v/>
      </c>
      <c r="P235">
        <f>I235&lt;0.05</f>
        <v/>
      </c>
    </row>
    <row r="236">
      <c r="A236" t="inlineStr">
        <is>
          <t>FOODS_3_087</t>
        </is>
      </c>
      <c r="B236" t="n">
        <v>6.753611830575854</v>
      </c>
      <c r="C236" t="n">
        <v>47.27528281403097</v>
      </c>
      <c r="D236" t="n">
        <v>48</v>
      </c>
      <c r="E236" s="15" t="n">
        <v>0</v>
      </c>
      <c r="F236">
        <f>C236+E236</f>
        <v/>
      </c>
      <c r="G236" t="n">
        <v>0.7247171859690269</v>
      </c>
      <c r="H236" t="n">
        <v>168</v>
      </c>
      <c r="I236">
        <f>IF(H236=0,0,G236/H236)</f>
        <v/>
      </c>
      <c r="J236" t="n">
        <v>1</v>
      </c>
      <c r="K236" t="n">
        <v>4</v>
      </c>
      <c r="L236" t="n">
        <v>1</v>
      </c>
      <c r="M236" t="n">
        <v>26.56360496766608</v>
      </c>
      <c r="N236">
        <f>D236/2</f>
        <v/>
      </c>
      <c r="O236">
        <f>N236+E236</f>
        <v/>
      </c>
      <c r="P236">
        <f>I236&lt;0.05</f>
        <v/>
      </c>
    </row>
    <row r="237">
      <c r="A237" t="inlineStr">
        <is>
          <t>FOODS_3_090</t>
        </is>
      </c>
      <c r="B237" t="n">
        <v>101.8407532290888</v>
      </c>
      <c r="C237" t="n">
        <v>712.8852726036218</v>
      </c>
      <c r="D237" t="n">
        <v>713</v>
      </c>
      <c r="E237" s="15" t="n">
        <v>38</v>
      </c>
      <c r="F237">
        <f>C237+E237</f>
        <v/>
      </c>
      <c r="G237" t="n">
        <v>167.1147273963782</v>
      </c>
      <c r="H237" t="n">
        <v>3357</v>
      </c>
      <c r="I237">
        <f>IF(H237=0,0,G237/H237)</f>
        <v/>
      </c>
      <c r="J237" t="n">
        <v>3</v>
      </c>
      <c r="K237" t="n">
        <v>5</v>
      </c>
      <c r="L237" t="n">
        <v>2</v>
      </c>
      <c r="M237" t="n">
        <v>345.9080843935039</v>
      </c>
      <c r="N237">
        <f>D237/2</f>
        <v/>
      </c>
      <c r="O237">
        <f>N237+E237</f>
        <v/>
      </c>
      <c r="P237">
        <f>I237&lt;0.05</f>
        <v/>
      </c>
    </row>
    <row r="238">
      <c r="A238" t="inlineStr">
        <is>
          <t>FOODS_3_093</t>
        </is>
      </c>
      <c r="B238" t="n">
        <v>2.612024778317404</v>
      </c>
      <c r="C238" t="n">
        <v>18.28417344822183</v>
      </c>
      <c r="D238" t="n">
        <v>19</v>
      </c>
      <c r="E238" s="15" t="n">
        <v>3</v>
      </c>
      <c r="F238">
        <f>C238+E238</f>
        <v/>
      </c>
      <c r="G238" t="n">
        <v>2.715826551778171</v>
      </c>
      <c r="H238" t="n">
        <v>63</v>
      </c>
      <c r="I238">
        <f>IF(H238=0,0,G238/H238)</f>
        <v/>
      </c>
      <c r="J238" t="n">
        <v>1</v>
      </c>
      <c r="K238" t="n">
        <v>4</v>
      </c>
      <c r="L238" t="n">
        <v>1</v>
      </c>
      <c r="M238" t="n">
        <v>16.00372629305521</v>
      </c>
      <c r="N238">
        <f>D238/2</f>
        <v/>
      </c>
      <c r="O238">
        <f>N238+E238</f>
        <v/>
      </c>
      <c r="P238">
        <f>I238&lt;0.05</f>
        <v/>
      </c>
    </row>
    <row r="239">
      <c r="A239" t="inlineStr">
        <is>
          <t>FOODS_3_097</t>
        </is>
      </c>
      <c r="B239" t="n">
        <v>3.535154261926795</v>
      </c>
      <c r="C239" t="n">
        <v>24.74607983348756</v>
      </c>
      <c r="D239" t="n">
        <v>25</v>
      </c>
      <c r="E239" s="15" t="n">
        <v>3</v>
      </c>
      <c r="F239">
        <f>C239+E239</f>
        <v/>
      </c>
      <c r="G239" t="n">
        <v>3.253920166512437</v>
      </c>
      <c r="H239" t="n">
        <v>94</v>
      </c>
      <c r="I239">
        <f>IF(H239=0,0,G239/H239)</f>
        <v/>
      </c>
      <c r="J239" t="n">
        <v>2</v>
      </c>
      <c r="K239" t="n">
        <v>4</v>
      </c>
      <c r="L239" t="n">
        <v>2</v>
      </c>
      <c r="M239" t="n">
        <v>14.30273139289019</v>
      </c>
      <c r="N239">
        <f>D239/2</f>
        <v/>
      </c>
      <c r="O239">
        <f>N239+E239</f>
        <v/>
      </c>
      <c r="P239">
        <f>I239&lt;0.05</f>
        <v/>
      </c>
    </row>
    <row r="240">
      <c r="A240" t="inlineStr">
        <is>
          <t>FOODS_3_099</t>
        </is>
      </c>
      <c r="B240" t="n">
        <v>10.3690316509908</v>
      </c>
      <c r="C240" t="n">
        <v>72.5832215569356</v>
      </c>
      <c r="D240" t="n">
        <v>73</v>
      </c>
      <c r="E240" s="15" t="n">
        <v>0</v>
      </c>
      <c r="F240">
        <f>C240+E240</f>
        <v/>
      </c>
      <c r="G240" t="n">
        <v>4.416778443064402</v>
      </c>
      <c r="H240" t="n">
        <v>295</v>
      </c>
      <c r="I240">
        <f>IF(H240=0,0,G240/H240)</f>
        <v/>
      </c>
      <c r="J240" t="n">
        <v>2</v>
      </c>
      <c r="K240" t="n">
        <v>4</v>
      </c>
      <c r="L240" t="n">
        <v>2</v>
      </c>
      <c r="M240" t="n">
        <v>30.94640461934334</v>
      </c>
      <c r="N240">
        <f>D240/2</f>
        <v/>
      </c>
      <c r="O240">
        <f>N240+E240</f>
        <v/>
      </c>
      <c r="P240">
        <f>I240&lt;0.05</f>
        <v/>
      </c>
    </row>
    <row r="241">
      <c r="A241" t="inlineStr">
        <is>
          <t>FOODS_3_100</t>
        </is>
      </c>
      <c r="B241" t="n">
        <v>1.869408099370161</v>
      </c>
      <c r="C241" t="n">
        <v>13.08585669559113</v>
      </c>
      <c r="D241" t="n">
        <v>14</v>
      </c>
      <c r="E241" s="15" t="n">
        <v>0</v>
      </c>
      <c r="F241">
        <f>C241+E241</f>
        <v/>
      </c>
      <c r="G241" t="n">
        <v>0.9141433044088707</v>
      </c>
      <c r="H241" t="n">
        <v>54</v>
      </c>
      <c r="I241">
        <f>IF(H241=0,0,G241/H241)</f>
        <v/>
      </c>
      <c r="J241" t="n">
        <v>1</v>
      </c>
      <c r="K241" t="n">
        <v>4</v>
      </c>
      <c r="L241" t="n">
        <v>1</v>
      </c>
      <c r="M241" t="n">
        <v>6.232683577626671</v>
      </c>
      <c r="N241">
        <f>D241/2</f>
        <v/>
      </c>
      <c r="O241">
        <f>N241+E241</f>
        <v/>
      </c>
      <c r="P241">
        <f>I241&lt;0.05</f>
        <v/>
      </c>
    </row>
    <row r="242">
      <c r="A242" t="inlineStr">
        <is>
          <t>FOODS_3_101</t>
        </is>
      </c>
      <c r="B242" t="n">
        <v>5.212615456815802</v>
      </c>
      <c r="C242" t="n">
        <v>36.48830819771061</v>
      </c>
      <c r="D242" t="n">
        <v>37</v>
      </c>
      <c r="E242" s="15" t="n">
        <v>0</v>
      </c>
      <c r="F242">
        <f>C242+E242</f>
        <v/>
      </c>
      <c r="G242" t="n">
        <v>1.511691802289391</v>
      </c>
      <c r="H242" t="n">
        <v>114</v>
      </c>
      <c r="I242">
        <f>IF(H242=0,0,G242/H242)</f>
        <v/>
      </c>
      <c r="J242" t="n">
        <v>1</v>
      </c>
      <c r="K242" t="n">
        <v>4</v>
      </c>
      <c r="L242" t="n">
        <v>1</v>
      </c>
      <c r="M242" t="n">
        <v>24.92606604236656</v>
      </c>
      <c r="N242">
        <f>D242/2</f>
        <v/>
      </c>
      <c r="O242">
        <f>N242+E242</f>
        <v/>
      </c>
      <c r="P242">
        <f>I242&lt;0.05</f>
        <v/>
      </c>
    </row>
    <row r="243">
      <c r="A243" t="inlineStr">
        <is>
          <t>FOODS_3_106</t>
        </is>
      </c>
      <c r="B243" t="n">
        <v>5.163002620123643</v>
      </c>
      <c r="C243" t="n">
        <v>36.1410183408655</v>
      </c>
      <c r="D243" t="n">
        <v>37</v>
      </c>
      <c r="E243" s="15" t="n">
        <v>0</v>
      </c>
      <c r="F243">
        <f>C243+E243</f>
        <v/>
      </c>
      <c r="G243" t="n">
        <v>0</v>
      </c>
      <c r="H243" t="n">
        <v>103</v>
      </c>
      <c r="I243">
        <f>IF(H243=0,0,G243/H243)</f>
        <v/>
      </c>
      <c r="J243" t="n">
        <v>0</v>
      </c>
      <c r="K243" t="n">
        <v>3</v>
      </c>
      <c r="L243" t="n">
        <v>0</v>
      </c>
      <c r="M243" t="n">
        <v>31.39101834086549</v>
      </c>
      <c r="N243">
        <f>D243/2</f>
        <v/>
      </c>
      <c r="O243">
        <f>N243+E243</f>
        <v/>
      </c>
      <c r="P243">
        <f>I243&lt;0.05</f>
        <v/>
      </c>
    </row>
    <row r="244">
      <c r="A244" t="inlineStr">
        <is>
          <t>FOODS_3_107</t>
        </is>
      </c>
      <c r="B244" t="n">
        <v>8.368279833051432</v>
      </c>
      <c r="C244" t="n">
        <v>58.57795883136002</v>
      </c>
      <c r="D244" t="n">
        <v>59</v>
      </c>
      <c r="E244" s="15" t="n">
        <v>5</v>
      </c>
      <c r="F244">
        <f>C244+E244</f>
        <v/>
      </c>
      <c r="G244" t="n">
        <v>14.42204116863998</v>
      </c>
      <c r="H244" t="n">
        <v>305</v>
      </c>
      <c r="I244">
        <f>IF(H244=0,0,G244/H244)</f>
        <v/>
      </c>
      <c r="J244" t="n">
        <v>3</v>
      </c>
      <c r="K244" t="n">
        <v>5</v>
      </c>
      <c r="L244" t="n">
        <v>2</v>
      </c>
      <c r="M244" t="n">
        <v>25.83813403529143</v>
      </c>
      <c r="N244">
        <f>D244/2</f>
        <v/>
      </c>
      <c r="O244">
        <f>N244+E244</f>
        <v/>
      </c>
      <c r="P244">
        <f>I244&lt;0.05</f>
        <v/>
      </c>
    </row>
    <row r="245">
      <c r="A245" t="inlineStr">
        <is>
          <t>FOODS_3_108</t>
        </is>
      </c>
      <c r="B245" t="n">
        <v>4.835312326877761</v>
      </c>
      <c r="C245" t="n">
        <v>33.84718628814433</v>
      </c>
      <c r="D245" t="n">
        <v>34</v>
      </c>
      <c r="E245" s="15" t="n">
        <v>1</v>
      </c>
      <c r="F245">
        <f>C245+E245</f>
        <v/>
      </c>
      <c r="G245" t="n">
        <v>6.152813711855671</v>
      </c>
      <c r="H245" t="n">
        <v>140</v>
      </c>
      <c r="I245">
        <f>IF(H245=0,0,G245/H245)</f>
        <v/>
      </c>
      <c r="J245" t="n">
        <v>2</v>
      </c>
      <c r="K245" t="n">
        <v>4</v>
      </c>
      <c r="L245" t="n">
        <v>2</v>
      </c>
      <c r="M245" t="n">
        <v>15.21725420460236</v>
      </c>
      <c r="N245">
        <f>D245/2</f>
        <v/>
      </c>
      <c r="O245">
        <f>N245+E245</f>
        <v/>
      </c>
      <c r="P245">
        <f>I245&lt;0.05</f>
        <v/>
      </c>
    </row>
    <row r="246">
      <c r="A246" t="inlineStr">
        <is>
          <t>FOODS_3_109</t>
        </is>
      </c>
      <c r="B246" t="n">
        <v>3.723503705620206</v>
      </c>
      <c r="C246" t="n">
        <v>26.06452593934144</v>
      </c>
      <c r="D246" t="n">
        <v>27</v>
      </c>
      <c r="E246" s="15" t="n">
        <v>2</v>
      </c>
      <c r="F246">
        <f>C246+E246</f>
        <v/>
      </c>
      <c r="G246" t="n">
        <v>3.935474060658557</v>
      </c>
      <c r="H246" t="n">
        <v>91</v>
      </c>
      <c r="I246">
        <f>IF(H246=0,0,G246/H246)</f>
        <v/>
      </c>
      <c r="J246" t="n">
        <v>1</v>
      </c>
      <c r="K246" t="n">
        <v>4</v>
      </c>
      <c r="L246" t="n">
        <v>1</v>
      </c>
      <c r="M246" t="n">
        <v>20.34563122938848</v>
      </c>
      <c r="N246">
        <f>D246/2</f>
        <v/>
      </c>
      <c r="O246">
        <f>N246+E246</f>
        <v/>
      </c>
      <c r="P246">
        <f>I246&lt;0.05</f>
        <v/>
      </c>
    </row>
    <row r="247">
      <c r="A247" t="inlineStr">
        <is>
          <t>FOODS_3_112</t>
        </is>
      </c>
      <c r="B247" t="n">
        <v>3.337860111138854</v>
      </c>
      <c r="C247" t="n">
        <v>23.36502077797198</v>
      </c>
      <c r="D247" t="n">
        <v>24</v>
      </c>
      <c r="E247" s="15" t="n">
        <v>4</v>
      </c>
      <c r="F247">
        <f>C247+E247</f>
        <v/>
      </c>
      <c r="G247" t="n">
        <v>4.634979222028022</v>
      </c>
      <c r="H247" t="n">
        <v>119</v>
      </c>
      <c r="I247">
        <f>IF(H247=0,0,G247/H247)</f>
        <v/>
      </c>
      <c r="J247" t="n">
        <v>2</v>
      </c>
      <c r="K247" t="n">
        <v>5</v>
      </c>
      <c r="L247" t="n">
        <v>1</v>
      </c>
      <c r="M247" t="n">
        <v>12.19215176198799</v>
      </c>
      <c r="N247">
        <f>D247/2</f>
        <v/>
      </c>
      <c r="O247">
        <f>N247+E247</f>
        <v/>
      </c>
      <c r="P247">
        <f>I247&lt;0.05</f>
        <v/>
      </c>
    </row>
    <row r="248">
      <c r="A248" t="inlineStr">
        <is>
          <t>FOODS_3_113</t>
        </is>
      </c>
      <c r="B248" t="n">
        <v>4.062577225710239</v>
      </c>
      <c r="C248" t="n">
        <v>28.43804057997167</v>
      </c>
      <c r="D248" t="n">
        <v>29</v>
      </c>
      <c r="E248" s="15" t="n">
        <v>1</v>
      </c>
      <c r="F248">
        <f>C248+E248</f>
        <v/>
      </c>
      <c r="G248" t="n">
        <v>4.561959420028327</v>
      </c>
      <c r="H248" t="n">
        <v>102</v>
      </c>
      <c r="I248">
        <f>IF(H248=0,0,G248/H248)</f>
        <v/>
      </c>
      <c r="J248" t="n">
        <v>2</v>
      </c>
      <c r="K248" t="n">
        <v>4</v>
      </c>
      <c r="L248" t="n">
        <v>1</v>
      </c>
      <c r="M248" t="n">
        <v>19.50679296070923</v>
      </c>
      <c r="N248">
        <f>D248/2</f>
        <v/>
      </c>
      <c r="O248">
        <f>N248+E248</f>
        <v/>
      </c>
      <c r="P248">
        <f>I248&lt;0.05</f>
        <v/>
      </c>
    </row>
    <row r="249">
      <c r="A249" t="inlineStr">
        <is>
          <t>FOODS_3_114</t>
        </is>
      </c>
      <c r="B249" t="n">
        <v>1.574407892691621</v>
      </c>
      <c r="C249" t="n">
        <v>11.02085524884134</v>
      </c>
      <c r="D249" t="n">
        <v>12</v>
      </c>
      <c r="E249" s="15" t="n">
        <v>4</v>
      </c>
      <c r="F249">
        <f>C249+E249</f>
        <v/>
      </c>
      <c r="G249" t="n">
        <v>1.979144751158657</v>
      </c>
      <c r="H249" t="n">
        <v>57</v>
      </c>
      <c r="I249">
        <f>IF(H249=0,0,G249/H249)</f>
        <v/>
      </c>
      <c r="J249" t="n">
        <v>2</v>
      </c>
      <c r="K249" t="n">
        <v>5</v>
      </c>
      <c r="L249" t="n">
        <v>1</v>
      </c>
      <c r="M249" t="n">
        <v>6.874273954405389</v>
      </c>
      <c r="N249">
        <f>D249/2</f>
        <v/>
      </c>
      <c r="O249">
        <f>N249+E249</f>
        <v/>
      </c>
      <c r="P249">
        <f>I249&lt;0.05</f>
        <v/>
      </c>
    </row>
    <row r="250">
      <c r="A250" t="inlineStr">
        <is>
          <t>FOODS_3_116</t>
        </is>
      </c>
      <c r="B250" t="n">
        <v>3.707177234450065</v>
      </c>
      <c r="C250" t="n">
        <v>25.95024064115046</v>
      </c>
      <c r="D250" t="n">
        <v>26</v>
      </c>
      <c r="E250" s="15" t="n">
        <v>5</v>
      </c>
      <c r="F250">
        <f>C250+E250</f>
        <v/>
      </c>
      <c r="G250" t="n">
        <v>6.049759358849542</v>
      </c>
      <c r="H250" t="n">
        <v>136</v>
      </c>
      <c r="I250">
        <f>IF(H250=0,0,G250/H250)</f>
        <v/>
      </c>
      <c r="J250" t="n">
        <v>2</v>
      </c>
      <c r="K250" t="n">
        <v>5</v>
      </c>
      <c r="L250" t="n">
        <v>2</v>
      </c>
      <c r="M250" t="n">
        <v>12.01438884620734</v>
      </c>
      <c r="N250">
        <f>D250/2</f>
        <v/>
      </c>
      <c r="O250">
        <f>N250+E250</f>
        <v/>
      </c>
      <c r="P250">
        <f>I250&lt;0.05</f>
        <v/>
      </c>
    </row>
    <row r="251">
      <c r="A251" t="inlineStr">
        <is>
          <t>FOODS_3_117</t>
        </is>
      </c>
      <c r="B251" t="n">
        <v>1.779355175468817</v>
      </c>
      <c r="C251" t="n">
        <v>12.45548622828172</v>
      </c>
      <c r="D251" t="n">
        <v>13</v>
      </c>
      <c r="E251" s="15" t="n">
        <v>9</v>
      </c>
      <c r="F251">
        <f>C251+E251</f>
        <v/>
      </c>
      <c r="G251" t="n">
        <v>2.544513771718282</v>
      </c>
      <c r="H251" t="n">
        <v>60</v>
      </c>
      <c r="I251">
        <f>IF(H251=0,0,G251/H251)</f>
        <v/>
      </c>
      <c r="J251" t="n">
        <v>1</v>
      </c>
      <c r="K251" t="n">
        <v>5</v>
      </c>
      <c r="L251" t="n">
        <v>1</v>
      </c>
      <c r="M251" t="n">
        <v>14.77018609978272</v>
      </c>
      <c r="N251">
        <f>D251/2</f>
        <v/>
      </c>
      <c r="O251">
        <f>N251+E251</f>
        <v/>
      </c>
      <c r="P251">
        <f>I251&lt;0.05</f>
        <v/>
      </c>
    </row>
    <row r="252">
      <c r="A252" t="inlineStr">
        <is>
          <t>FOODS_3_118</t>
        </is>
      </c>
      <c r="B252" t="n">
        <v>3.633900387482924</v>
      </c>
      <c r="C252" t="n">
        <v>25.43730271238046</v>
      </c>
      <c r="D252" t="n">
        <v>26</v>
      </c>
      <c r="E252" s="15" t="n">
        <v>1</v>
      </c>
      <c r="F252">
        <f>C252+E252</f>
        <v/>
      </c>
      <c r="G252" t="n">
        <v>1.562697287619535</v>
      </c>
      <c r="H252" t="n">
        <v>101</v>
      </c>
      <c r="I252">
        <f>IF(H252=0,0,G252/H252)</f>
        <v/>
      </c>
      <c r="J252" t="n">
        <v>1</v>
      </c>
      <c r="K252" t="n">
        <v>4</v>
      </c>
      <c r="L252" t="n">
        <v>1</v>
      </c>
      <c r="M252" t="n">
        <v>15.43293707047595</v>
      </c>
      <c r="N252">
        <f>D252/2</f>
        <v/>
      </c>
      <c r="O252">
        <f>N252+E252</f>
        <v/>
      </c>
      <c r="P252">
        <f>I252&lt;0.05</f>
        <v/>
      </c>
    </row>
    <row r="253">
      <c r="A253" t="inlineStr">
        <is>
          <t>FOODS_3_120</t>
        </is>
      </c>
      <c r="B253" t="n">
        <v>62.00723104069282</v>
      </c>
      <c r="C253" t="n">
        <v>434.0506172848497</v>
      </c>
      <c r="D253" t="n">
        <v>435</v>
      </c>
      <c r="E253" s="15" t="n">
        <v>0</v>
      </c>
      <c r="F253">
        <f>C253+E253</f>
        <v/>
      </c>
      <c r="G253" t="n">
        <v>64.94938271515031</v>
      </c>
      <c r="H253" t="n">
        <v>1617</v>
      </c>
      <c r="I253">
        <f>IF(H253=0,0,G253/H253)</f>
        <v/>
      </c>
      <c r="J253" t="n">
        <v>2</v>
      </c>
      <c r="K253" t="n">
        <v>4</v>
      </c>
      <c r="L253" t="n">
        <v>2</v>
      </c>
      <c r="M253" t="n">
        <v>222.0822751324678</v>
      </c>
      <c r="N253">
        <f>D253/2</f>
        <v/>
      </c>
      <c r="O253">
        <f>N253+E253</f>
        <v/>
      </c>
      <c r="P253">
        <f>I253&lt;0.05</f>
        <v/>
      </c>
    </row>
    <row r="254">
      <c r="A254" t="inlineStr">
        <is>
          <t>FOODS_3_121</t>
        </is>
      </c>
      <c r="B254" t="n">
        <v>6.394565418613499</v>
      </c>
      <c r="C254" t="n">
        <v>44.76195793029449</v>
      </c>
      <c r="D254" t="n">
        <v>45</v>
      </c>
      <c r="E254" s="15" t="n">
        <v>0</v>
      </c>
      <c r="F254">
        <f>C254+E254</f>
        <v/>
      </c>
      <c r="G254" t="n">
        <v>6.238042069705507</v>
      </c>
      <c r="H254" t="n">
        <v>169</v>
      </c>
      <c r="I254">
        <f>IF(H254=0,0,G254/H254)</f>
        <v/>
      </c>
      <c r="J254" t="n">
        <v>1</v>
      </c>
      <c r="K254" t="n">
        <v>4</v>
      </c>
      <c r="L254" t="n">
        <v>1</v>
      </c>
      <c r="M254" t="n">
        <v>21.25854137878179</v>
      </c>
      <c r="N254">
        <f>D254/2</f>
        <v/>
      </c>
      <c r="O254">
        <f>N254+E254</f>
        <v/>
      </c>
      <c r="P254">
        <f>I254&lt;0.05</f>
        <v/>
      </c>
    </row>
    <row r="255">
      <c r="A255" t="inlineStr">
        <is>
          <t>FOODS_3_124</t>
        </is>
      </c>
      <c r="B255" t="n">
        <v>3.934932140715851</v>
      </c>
      <c r="C255" t="n">
        <v>27.54452498501096</v>
      </c>
      <c r="D255" t="n">
        <v>28</v>
      </c>
      <c r="E255" s="15" t="n">
        <v>29</v>
      </c>
      <c r="F255">
        <f>C255+E255</f>
        <v/>
      </c>
      <c r="G255" t="n">
        <v>6.455475014989041</v>
      </c>
      <c r="H255" t="n">
        <v>193</v>
      </c>
      <c r="I255">
        <f>IF(H255=0,0,G255/H255)</f>
        <v/>
      </c>
      <c r="J255" t="n">
        <v>2</v>
      </c>
      <c r="K255" t="n">
        <v>7</v>
      </c>
      <c r="L255" t="n">
        <v>1</v>
      </c>
      <c r="M255" t="n">
        <v>26.25599552768445</v>
      </c>
      <c r="N255">
        <f>D255/2</f>
        <v/>
      </c>
      <c r="O255">
        <f>N255+E255</f>
        <v/>
      </c>
      <c r="P255">
        <f>I255&lt;0.05</f>
        <v/>
      </c>
    </row>
    <row r="256">
      <c r="A256" t="inlineStr">
        <is>
          <t>FOODS_3_125</t>
        </is>
      </c>
      <c r="B256" t="n">
        <v>2.018371609612812</v>
      </c>
      <c r="C256" t="n">
        <v>14.12860126728969</v>
      </c>
      <c r="D256" t="n">
        <v>15</v>
      </c>
      <c r="E256" s="15" t="n">
        <v>13</v>
      </c>
      <c r="F256">
        <f>C256+E256</f>
        <v/>
      </c>
      <c r="G256" t="n">
        <v>4.871398732710311</v>
      </c>
      <c r="H256" t="n">
        <v>105</v>
      </c>
      <c r="I256">
        <f>IF(H256=0,0,G256/H256)</f>
        <v/>
      </c>
      <c r="J256" t="n">
        <v>1</v>
      </c>
      <c r="K256" t="n">
        <v>7</v>
      </c>
      <c r="L256" t="n">
        <v>1</v>
      </c>
      <c r="M256" t="n">
        <v>8.282150316822422</v>
      </c>
      <c r="N256">
        <f>D256/2</f>
        <v/>
      </c>
      <c r="O256">
        <f>N256+E256</f>
        <v/>
      </c>
      <c r="P256">
        <f>I256&lt;0.05</f>
        <v/>
      </c>
    </row>
    <row r="257">
      <c r="A257" t="inlineStr">
        <is>
          <t>FOODS_3_126</t>
        </is>
      </c>
      <c r="B257" t="n">
        <v>2.743901876751691</v>
      </c>
      <c r="C257" t="n">
        <v>19.20731313726184</v>
      </c>
      <c r="D257" t="n">
        <v>20</v>
      </c>
      <c r="E257" s="15" t="n">
        <v>0</v>
      </c>
      <c r="F257">
        <f>C257+E257</f>
        <v/>
      </c>
      <c r="G257" t="n">
        <v>0.7926868627381616</v>
      </c>
      <c r="H257" t="n">
        <v>67</v>
      </c>
      <c r="I257">
        <f>IF(H257=0,0,G257/H257)</f>
        <v/>
      </c>
      <c r="J257" t="n">
        <v>1</v>
      </c>
      <c r="K257" t="n">
        <v>4</v>
      </c>
      <c r="L257" t="n">
        <v>1</v>
      </c>
      <c r="M257" t="n">
        <v>12.78963203781884</v>
      </c>
      <c r="N257">
        <f>D257/2</f>
        <v/>
      </c>
      <c r="O257">
        <f>N257+E257</f>
        <v/>
      </c>
      <c r="P257">
        <f>I257&lt;0.05</f>
        <v/>
      </c>
    </row>
    <row r="258">
      <c r="A258" t="inlineStr">
        <is>
          <t>FOODS_3_127</t>
        </is>
      </c>
      <c r="B258" t="n">
        <v>4.107218661070747</v>
      </c>
      <c r="C258" t="n">
        <v>28.75053062749523</v>
      </c>
      <c r="D258" t="n">
        <v>29</v>
      </c>
      <c r="E258" s="15" t="n">
        <v>0</v>
      </c>
      <c r="F258">
        <f>C258+E258</f>
        <v/>
      </c>
      <c r="G258" t="n">
        <v>0</v>
      </c>
      <c r="H258" t="n">
        <v>94</v>
      </c>
      <c r="I258">
        <f>IF(H258=0,0,G258/H258)</f>
        <v/>
      </c>
      <c r="J258" t="n">
        <v>0</v>
      </c>
      <c r="K258" t="n">
        <v>4</v>
      </c>
      <c r="L258" t="n">
        <v>0</v>
      </c>
      <c r="M258" t="n">
        <v>20.35767348463808</v>
      </c>
      <c r="N258">
        <f>D258/2</f>
        <v/>
      </c>
      <c r="O258">
        <f>N258+E258</f>
        <v/>
      </c>
      <c r="P258">
        <f>I258&lt;0.05</f>
        <v/>
      </c>
    </row>
    <row r="259">
      <c r="A259" t="inlineStr">
        <is>
          <t>FOODS_3_129</t>
        </is>
      </c>
      <c r="B259" t="n">
        <v>1.848915095844202</v>
      </c>
      <c r="C259" t="n">
        <v>12.94240567090941</v>
      </c>
      <c r="D259" t="n">
        <v>13</v>
      </c>
      <c r="E259" s="15" t="n">
        <v>0</v>
      </c>
      <c r="F259">
        <f>C259+E259</f>
        <v/>
      </c>
      <c r="G259" t="n">
        <v>0.05759432909059115</v>
      </c>
      <c r="H259" t="n">
        <v>49</v>
      </c>
      <c r="I259">
        <f>IF(H259=0,0,G259/H259)</f>
        <v/>
      </c>
      <c r="J259" t="n">
        <v>1</v>
      </c>
      <c r="K259" t="n">
        <v>4</v>
      </c>
      <c r="L259" t="n">
        <v>1</v>
      </c>
      <c r="M259" t="n">
        <v>7.559833229675585</v>
      </c>
      <c r="N259">
        <f>D259/2</f>
        <v/>
      </c>
      <c r="O259">
        <f>N259+E259</f>
        <v/>
      </c>
      <c r="P259">
        <f>I259&lt;0.05</f>
        <v/>
      </c>
    </row>
    <row r="260">
      <c r="A260" t="inlineStr">
        <is>
          <t>FOODS_3_130</t>
        </is>
      </c>
      <c r="B260" t="n">
        <v>1.708550967976087</v>
      </c>
      <c r="C260" t="n">
        <v>11.95985677583261</v>
      </c>
      <c r="D260" t="n">
        <v>12</v>
      </c>
      <c r="E260" s="15" t="n">
        <v>16</v>
      </c>
      <c r="F260">
        <f>C260+E260</f>
        <v/>
      </c>
      <c r="G260" t="n">
        <v>3.040143224167394</v>
      </c>
      <c r="H260" t="n">
        <v>61</v>
      </c>
      <c r="I260">
        <f>IF(H260=0,0,G260/H260)</f>
        <v/>
      </c>
      <c r="J260" t="n">
        <v>1</v>
      </c>
      <c r="K260" t="n">
        <v>5</v>
      </c>
      <c r="L260" t="n">
        <v>1</v>
      </c>
      <c r="M260" t="n">
        <v>20.96559152214222</v>
      </c>
      <c r="N260">
        <f>D260/2</f>
        <v/>
      </c>
      <c r="O260">
        <f>N260+E260</f>
        <v/>
      </c>
      <c r="P260">
        <f>I260&lt;0.05</f>
        <v/>
      </c>
    </row>
    <row r="261">
      <c r="A261" t="inlineStr">
        <is>
          <t>FOODS_3_131</t>
        </is>
      </c>
      <c r="B261" t="n">
        <v>4.88016317752778</v>
      </c>
      <c r="C261" t="n">
        <v>34.16114224269446</v>
      </c>
      <c r="D261" t="n">
        <v>35</v>
      </c>
      <c r="E261" s="15" t="n">
        <v>0</v>
      </c>
      <c r="F261">
        <f>C261+E261</f>
        <v/>
      </c>
      <c r="G261" t="n">
        <v>0</v>
      </c>
      <c r="H261" t="n">
        <v>91</v>
      </c>
      <c r="I261">
        <f>IF(H261=0,0,G261/H261)</f>
        <v/>
      </c>
      <c r="J261" t="n">
        <v>0</v>
      </c>
      <c r="K261" t="n">
        <v>3</v>
      </c>
      <c r="L261" t="n">
        <v>0</v>
      </c>
      <c r="M261" t="n">
        <v>26.87542795698018</v>
      </c>
      <c r="N261">
        <f>D261/2</f>
        <v/>
      </c>
      <c r="O261">
        <f>N261+E261</f>
        <v/>
      </c>
      <c r="P261">
        <f>I261&lt;0.05</f>
        <v/>
      </c>
    </row>
    <row r="262">
      <c r="A262" t="inlineStr">
        <is>
          <t>FOODS_3_133</t>
        </is>
      </c>
      <c r="B262" t="n">
        <v>7.501226232715545</v>
      </c>
      <c r="C262" t="n">
        <v>52.50858362900882</v>
      </c>
      <c r="D262" t="n">
        <v>53</v>
      </c>
      <c r="E262" s="15" t="n">
        <v>0</v>
      </c>
      <c r="F262">
        <f>C262+E262</f>
        <v/>
      </c>
      <c r="G262" t="n">
        <v>0</v>
      </c>
      <c r="H262" t="n">
        <v>178</v>
      </c>
      <c r="I262">
        <f>IF(H262=0,0,G262/H262)</f>
        <v/>
      </c>
      <c r="J262" t="n">
        <v>0</v>
      </c>
      <c r="K262" t="n">
        <v>4</v>
      </c>
      <c r="L262" t="n">
        <v>0</v>
      </c>
      <c r="M262" t="n">
        <v>35.65144077186597</v>
      </c>
      <c r="N262">
        <f>D262/2</f>
        <v/>
      </c>
      <c r="O262">
        <f>N262+E262</f>
        <v/>
      </c>
      <c r="P262">
        <f>I262&lt;0.05</f>
        <v/>
      </c>
    </row>
    <row r="263">
      <c r="A263" t="inlineStr">
        <is>
          <t>FOODS_3_134</t>
        </is>
      </c>
      <c r="B263" t="n">
        <v>4.330936782919931</v>
      </c>
      <c r="C263" t="n">
        <v>30.31655748043952</v>
      </c>
      <c r="D263" t="n">
        <v>31</v>
      </c>
      <c r="E263" s="15" t="n">
        <v>0</v>
      </c>
      <c r="F263">
        <f>C263+E263</f>
        <v/>
      </c>
      <c r="G263" t="n">
        <v>5.683442519560483</v>
      </c>
      <c r="H263" t="n">
        <v>120</v>
      </c>
      <c r="I263">
        <f>IF(H263=0,0,G263/H263)</f>
        <v/>
      </c>
      <c r="J263" t="n">
        <v>2</v>
      </c>
      <c r="K263" t="n">
        <v>4</v>
      </c>
      <c r="L263" t="n">
        <v>2</v>
      </c>
      <c r="M263" t="n">
        <v>15.93268740163263</v>
      </c>
      <c r="N263">
        <f>D263/2</f>
        <v/>
      </c>
      <c r="O263">
        <f>N263+E263</f>
        <v/>
      </c>
      <c r="P263">
        <f>I263&lt;0.05</f>
        <v/>
      </c>
    </row>
    <row r="264">
      <c r="A264" t="inlineStr">
        <is>
          <t>FOODS_3_135</t>
        </is>
      </c>
      <c r="B264" t="n">
        <v>12.01478112495398</v>
      </c>
      <c r="C264" t="n">
        <v>84.10346787467788</v>
      </c>
      <c r="D264" t="n">
        <v>85</v>
      </c>
      <c r="E264" s="15" t="n">
        <v>4</v>
      </c>
      <c r="F264">
        <f>C264+E264</f>
        <v/>
      </c>
      <c r="G264" t="n">
        <v>17.89653212532212</v>
      </c>
      <c r="H264" t="n">
        <v>376</v>
      </c>
      <c r="I264">
        <f>IF(H264=0,0,G264/H264)</f>
        <v/>
      </c>
      <c r="J264" t="n">
        <v>2</v>
      </c>
      <c r="K264" t="n">
        <v>5</v>
      </c>
      <c r="L264" t="n">
        <v>2</v>
      </c>
      <c r="M264" t="n">
        <v>45.87931454457383</v>
      </c>
      <c r="N264">
        <f>D264/2</f>
        <v/>
      </c>
      <c r="O264">
        <f>N264+E264</f>
        <v/>
      </c>
      <c r="P264">
        <f>I264&lt;0.05</f>
        <v/>
      </c>
    </row>
    <row r="265">
      <c r="A265" t="inlineStr">
        <is>
          <t>FOODS_3_136</t>
        </is>
      </c>
      <c r="B265" t="n">
        <v>4.794400370031445</v>
      </c>
      <c r="C265" t="n">
        <v>33.56080259022011</v>
      </c>
      <c r="D265" t="n">
        <v>34</v>
      </c>
      <c r="E265" s="15" t="n">
        <v>1</v>
      </c>
      <c r="F265">
        <f>C265+E265</f>
        <v/>
      </c>
      <c r="G265" t="n">
        <v>3.439197409779887</v>
      </c>
      <c r="H265" t="n">
        <v>151</v>
      </c>
      <c r="I265">
        <f>IF(H265=0,0,G265/H265)</f>
        <v/>
      </c>
      <c r="J265" t="n">
        <v>2</v>
      </c>
      <c r="K265" t="n">
        <v>5</v>
      </c>
      <c r="L265" t="n">
        <v>2</v>
      </c>
      <c r="M265" t="n">
        <v>15.26302912647574</v>
      </c>
      <c r="N265">
        <f>D265/2</f>
        <v/>
      </c>
      <c r="O265">
        <f>N265+E265</f>
        <v/>
      </c>
      <c r="P265">
        <f>I265&lt;0.05</f>
        <v/>
      </c>
    </row>
    <row r="266">
      <c r="A266" t="inlineStr">
        <is>
          <t>FOODS_3_138</t>
        </is>
      </c>
      <c r="B266" t="n">
        <v>2.74891363081374</v>
      </c>
      <c r="C266" t="n">
        <v>19.24239541569618</v>
      </c>
      <c r="D266" t="n">
        <v>20</v>
      </c>
      <c r="E266" s="15" t="n">
        <v>2</v>
      </c>
      <c r="F266">
        <f>C266+E266</f>
        <v/>
      </c>
      <c r="G266" t="n">
        <v>2.75760458430382</v>
      </c>
      <c r="H266" t="n">
        <v>74</v>
      </c>
      <c r="I266">
        <f>IF(H266=0,0,G266/H266)</f>
        <v/>
      </c>
      <c r="J266" t="n">
        <v>1</v>
      </c>
      <c r="K266" t="n">
        <v>4</v>
      </c>
      <c r="L266" t="n">
        <v>1</v>
      </c>
      <c r="M266" t="n">
        <v>13.87337044622061</v>
      </c>
      <c r="N266">
        <f>D266/2</f>
        <v/>
      </c>
      <c r="O266">
        <f>N266+E266</f>
        <v/>
      </c>
      <c r="P266">
        <f>I266&lt;0.05</f>
        <v/>
      </c>
    </row>
    <row r="267">
      <c r="A267" t="inlineStr">
        <is>
          <t>FOODS_3_139</t>
        </is>
      </c>
      <c r="B267" t="n">
        <v>2.433158250575062</v>
      </c>
      <c r="C267" t="n">
        <v>17.03210775402544</v>
      </c>
      <c r="D267" t="n">
        <v>18</v>
      </c>
      <c r="E267" s="15" t="n">
        <v>4</v>
      </c>
      <c r="F267">
        <f>C267+E267</f>
        <v/>
      </c>
      <c r="G267" t="n">
        <v>3.967892245974564</v>
      </c>
      <c r="H267" t="n">
        <v>92</v>
      </c>
      <c r="I267">
        <f>IF(H267=0,0,G267/H267)</f>
        <v/>
      </c>
      <c r="J267" t="n">
        <v>1</v>
      </c>
      <c r="K267" t="n">
        <v>5</v>
      </c>
      <c r="L267" t="n">
        <v>1</v>
      </c>
      <c r="M267" t="n">
        <v>8.562088512235182</v>
      </c>
      <c r="N267">
        <f>D267/2</f>
        <v/>
      </c>
      <c r="O267">
        <f>N267+E267</f>
        <v/>
      </c>
      <c r="P267">
        <f>I267&lt;0.05</f>
        <v/>
      </c>
    </row>
    <row r="268">
      <c r="A268" t="inlineStr">
        <is>
          <t>FOODS_3_140</t>
        </is>
      </c>
      <c r="B268" t="n">
        <v>3.640145196506295</v>
      </c>
      <c r="C268" t="n">
        <v>25.48101637554406</v>
      </c>
      <c r="D268" t="n">
        <v>26</v>
      </c>
      <c r="E268" s="15" t="n">
        <v>16</v>
      </c>
      <c r="F268">
        <f>C268+E268</f>
        <v/>
      </c>
      <c r="G268" t="n">
        <v>7.518983624455942</v>
      </c>
      <c r="H268" t="n">
        <v>159</v>
      </c>
      <c r="I268">
        <f>IF(H268=0,0,G268/H268)</f>
        <v/>
      </c>
      <c r="J268" t="n">
        <v>2</v>
      </c>
      <c r="K268" t="n">
        <v>6</v>
      </c>
      <c r="L268" t="n">
        <v>2</v>
      </c>
      <c r="M268" t="n">
        <v>18.74593208047373</v>
      </c>
      <c r="N268">
        <f>D268/2</f>
        <v/>
      </c>
      <c r="O268">
        <f>N268+E268</f>
        <v/>
      </c>
      <c r="P268">
        <f>I268&lt;0.05</f>
        <v/>
      </c>
    </row>
    <row r="269">
      <c r="A269" t="inlineStr">
        <is>
          <t>FOODS_3_142</t>
        </is>
      </c>
      <c r="B269" t="n">
        <v>3.802711533146755</v>
      </c>
      <c r="C269" t="n">
        <v>26.61898073202728</v>
      </c>
      <c r="D269" t="n">
        <v>27</v>
      </c>
      <c r="E269" s="15" t="n">
        <v>10</v>
      </c>
      <c r="F269">
        <f>C269+E269</f>
        <v/>
      </c>
      <c r="G269" t="n">
        <v>6.381019267972718</v>
      </c>
      <c r="H269" t="n">
        <v>139</v>
      </c>
      <c r="I269">
        <f>IF(H269=0,0,G269/H269)</f>
        <v/>
      </c>
      <c r="J269" t="n">
        <v>2</v>
      </c>
      <c r="K269" t="n">
        <v>5</v>
      </c>
      <c r="L269" t="n">
        <v>1</v>
      </c>
      <c r="M269" t="n">
        <v>17.49317100186786</v>
      </c>
      <c r="N269">
        <f>D269/2</f>
        <v/>
      </c>
      <c r="O269">
        <f>N269+E269</f>
        <v/>
      </c>
      <c r="P269">
        <f>I269&lt;0.05</f>
        <v/>
      </c>
    </row>
    <row r="270">
      <c r="A270" t="inlineStr">
        <is>
          <t>FOODS_3_144</t>
        </is>
      </c>
      <c r="B270" t="n">
        <v>3.79435923088358</v>
      </c>
      <c r="C270" t="n">
        <v>26.56051461618506</v>
      </c>
      <c r="D270" t="n">
        <v>27</v>
      </c>
      <c r="E270" s="15" t="n">
        <v>4</v>
      </c>
      <c r="F270">
        <f>C270+E270</f>
        <v/>
      </c>
      <c r="G270" t="n">
        <v>5.439485383814937</v>
      </c>
      <c r="H270" t="n">
        <v>126</v>
      </c>
      <c r="I270">
        <f>IF(H270=0,0,G270/H270)</f>
        <v/>
      </c>
      <c r="J270" t="n">
        <v>1</v>
      </c>
      <c r="K270" t="n">
        <v>5</v>
      </c>
      <c r="L270" t="n">
        <v>1</v>
      </c>
      <c r="M270" t="n">
        <v>14.83758395673005</v>
      </c>
      <c r="N270">
        <f>D270/2</f>
        <v/>
      </c>
      <c r="O270">
        <f>N270+E270</f>
        <v/>
      </c>
      <c r="P270">
        <f>I270&lt;0.05</f>
        <v/>
      </c>
    </row>
    <row r="271">
      <c r="A271" t="inlineStr">
        <is>
          <t>FOODS_3_146</t>
        </is>
      </c>
      <c r="B271" t="n">
        <v>3.582791296226298</v>
      </c>
      <c r="C271" t="n">
        <v>25.07953907358409</v>
      </c>
      <c r="D271" t="n">
        <v>26</v>
      </c>
      <c r="E271" s="15" t="n">
        <v>9</v>
      </c>
      <c r="F271">
        <f>C271+E271</f>
        <v/>
      </c>
      <c r="G271" t="n">
        <v>6.920460926415913</v>
      </c>
      <c r="H271" t="n">
        <v>142</v>
      </c>
      <c r="I271">
        <f>IF(H271=0,0,G271/H271)</f>
        <v/>
      </c>
      <c r="J271" t="n">
        <v>1</v>
      </c>
      <c r="K271" t="n">
        <v>6</v>
      </c>
      <c r="L271" t="n">
        <v>1</v>
      </c>
      <c r="M271" t="n">
        <v>18.71387417284295</v>
      </c>
      <c r="N271">
        <f>D271/2</f>
        <v/>
      </c>
      <c r="O271">
        <f>N271+E271</f>
        <v/>
      </c>
      <c r="P271">
        <f>I271&lt;0.05</f>
        <v/>
      </c>
    </row>
    <row r="272">
      <c r="A272" t="inlineStr">
        <is>
          <t>FOODS_3_148</t>
        </is>
      </c>
      <c r="B272" t="n">
        <v>5.421684740424736</v>
      </c>
      <c r="C272" t="n">
        <v>37.95179318297315</v>
      </c>
      <c r="D272" t="n">
        <v>38</v>
      </c>
      <c r="E272" s="15" t="n">
        <v>0</v>
      </c>
      <c r="F272">
        <f>C272+E272</f>
        <v/>
      </c>
      <c r="G272" t="n">
        <v>6.048206817026852</v>
      </c>
      <c r="H272" t="n">
        <v>143</v>
      </c>
      <c r="I272">
        <f>IF(H272=0,0,G272/H272)</f>
        <v/>
      </c>
      <c r="J272" t="n">
        <v>2</v>
      </c>
      <c r="K272" t="n">
        <v>4</v>
      </c>
      <c r="L272" t="n">
        <v>2</v>
      </c>
      <c r="M272" t="n">
        <v>19.8128202112452</v>
      </c>
      <c r="N272">
        <f>D272/2</f>
        <v/>
      </c>
      <c r="O272">
        <f>N272+E272</f>
        <v/>
      </c>
      <c r="P272">
        <f>I272&lt;0.05</f>
        <v/>
      </c>
    </row>
    <row r="273">
      <c r="A273" t="inlineStr">
        <is>
          <t>FOODS_3_150</t>
        </is>
      </c>
      <c r="B273" t="n">
        <v>8.523753398406692</v>
      </c>
      <c r="C273" t="n">
        <v>59.66627378884684</v>
      </c>
      <c r="D273" t="n">
        <v>60</v>
      </c>
      <c r="E273" s="15" t="n">
        <v>0</v>
      </c>
      <c r="F273">
        <f>C273+E273</f>
        <v/>
      </c>
      <c r="G273" t="n">
        <v>1.333726211153163</v>
      </c>
      <c r="H273" t="n">
        <v>241</v>
      </c>
      <c r="I273">
        <f>IF(H273=0,0,G273/H273)</f>
        <v/>
      </c>
      <c r="J273" t="n">
        <v>1</v>
      </c>
      <c r="K273" t="n">
        <v>4</v>
      </c>
      <c r="L273" t="n">
        <v>1</v>
      </c>
      <c r="M273" t="n">
        <v>39.78533543924518</v>
      </c>
      <c r="N273">
        <f>D273/2</f>
        <v/>
      </c>
      <c r="O273">
        <f>N273+E273</f>
        <v/>
      </c>
      <c r="P273">
        <f>I273&lt;0.05</f>
        <v/>
      </c>
    </row>
    <row r="274">
      <c r="A274" t="inlineStr">
        <is>
          <t>FOODS_3_151</t>
        </is>
      </c>
      <c r="B274" t="n">
        <v>6.049218858907399</v>
      </c>
      <c r="C274" t="n">
        <v>42.34453201235179</v>
      </c>
      <c r="D274" t="n">
        <v>43</v>
      </c>
      <c r="E274" s="15" t="n">
        <v>20</v>
      </c>
      <c r="F274">
        <f>C274+E274</f>
        <v/>
      </c>
      <c r="G274" t="n">
        <v>8.655467987648208</v>
      </c>
      <c r="H274" t="n">
        <v>233</v>
      </c>
      <c r="I274">
        <f>IF(H274=0,0,G274/H274)</f>
        <v/>
      </c>
      <c r="J274" t="n">
        <v>1</v>
      </c>
      <c r="K274" t="n">
        <v>6</v>
      </c>
      <c r="L274" t="n">
        <v>1</v>
      </c>
      <c r="M274" t="n">
        <v>28.08853272002048</v>
      </c>
      <c r="N274">
        <f>D274/2</f>
        <v/>
      </c>
      <c r="O274">
        <f>N274+E274</f>
        <v/>
      </c>
      <c r="P274">
        <f>I274&lt;0.05</f>
        <v/>
      </c>
    </row>
    <row r="275">
      <c r="A275" t="inlineStr">
        <is>
          <t>FOODS_3_152</t>
        </is>
      </c>
      <c r="B275" t="n">
        <v>1.018980229966118</v>
      </c>
      <c r="C275" t="n">
        <v>7.132861609762825</v>
      </c>
      <c r="D275" t="n">
        <v>8</v>
      </c>
      <c r="E275" s="15" t="n">
        <v>19</v>
      </c>
      <c r="F275">
        <f>C275+E275</f>
        <v/>
      </c>
      <c r="G275" t="n">
        <v>4.867138390237173</v>
      </c>
      <c r="H275" t="n">
        <v>103</v>
      </c>
      <c r="I275">
        <f>IF(H275=0,0,G275/H275)</f>
        <v/>
      </c>
      <c r="J275" t="n">
        <v>2</v>
      </c>
      <c r="K275" t="n">
        <v>13</v>
      </c>
      <c r="L275" t="n">
        <v>2</v>
      </c>
      <c r="M275" t="n">
        <v>9.128369261326924</v>
      </c>
      <c r="N275">
        <f>D275/2</f>
        <v/>
      </c>
      <c r="O275">
        <f>N275+E275</f>
        <v/>
      </c>
      <c r="P275">
        <f>I275&lt;0.05</f>
        <v/>
      </c>
    </row>
    <row r="276">
      <c r="A276" t="inlineStr">
        <is>
          <t>FOODS_3_156</t>
        </is>
      </c>
      <c r="B276" t="n">
        <v>1.660358741004831</v>
      </c>
      <c r="C276" t="n">
        <v>11.62251118703382</v>
      </c>
      <c r="D276" t="n">
        <v>12</v>
      </c>
      <c r="E276" s="15" t="n">
        <v>4</v>
      </c>
      <c r="F276">
        <f>C276+E276</f>
        <v/>
      </c>
      <c r="G276" t="n">
        <v>2.377488812966179</v>
      </c>
      <c r="H276" t="n">
        <v>50</v>
      </c>
      <c r="I276">
        <f>IF(H276=0,0,G276/H276)</f>
        <v/>
      </c>
      <c r="J276" t="n">
        <v>1</v>
      </c>
      <c r="K276" t="n">
        <v>4</v>
      </c>
      <c r="L276" t="n">
        <v>1</v>
      </c>
      <c r="M276" t="n">
        <v>10.20482382579296</v>
      </c>
      <c r="N276">
        <f>D276/2</f>
        <v/>
      </c>
      <c r="O276">
        <f>N276+E276</f>
        <v/>
      </c>
      <c r="P276">
        <f>I276&lt;0.05</f>
        <v/>
      </c>
    </row>
    <row r="277">
      <c r="A277" t="inlineStr">
        <is>
          <t>FOODS_3_160</t>
        </is>
      </c>
      <c r="B277" t="n">
        <v>1.113363326721828</v>
      </c>
      <c r="C277" t="n">
        <v>7.793543287052794</v>
      </c>
      <c r="D277" t="n">
        <v>8</v>
      </c>
      <c r="E277" s="15" t="n">
        <v>12</v>
      </c>
      <c r="F277">
        <f>C277+E277</f>
        <v/>
      </c>
      <c r="G277" t="n">
        <v>2.206456712947208</v>
      </c>
      <c r="H277" t="n">
        <v>61</v>
      </c>
      <c r="I277">
        <f>IF(H277=0,0,G277/H277)</f>
        <v/>
      </c>
      <c r="J277" t="n">
        <v>1</v>
      </c>
      <c r="K277" t="n">
        <v>7</v>
      </c>
      <c r="L277" t="n">
        <v>1</v>
      </c>
      <c r="M277" t="n">
        <v>9.784561301259426</v>
      </c>
      <c r="N277">
        <f>D277/2</f>
        <v/>
      </c>
      <c r="O277">
        <f>N277+E277</f>
        <v/>
      </c>
      <c r="P277">
        <f>I277&lt;0.05</f>
        <v/>
      </c>
    </row>
    <row r="278">
      <c r="A278" t="inlineStr">
        <is>
          <t>FOODS_3_163</t>
        </is>
      </c>
      <c r="B278" t="n">
        <v>2.87096953704964</v>
      </c>
      <c r="C278" t="n">
        <v>20.09678675934748</v>
      </c>
      <c r="D278" t="n">
        <v>21</v>
      </c>
      <c r="E278" s="15" t="n">
        <v>0</v>
      </c>
      <c r="F278">
        <f>C278+E278</f>
        <v/>
      </c>
      <c r="G278" t="n">
        <v>2.903213240652519</v>
      </c>
      <c r="H278" t="n">
        <v>73</v>
      </c>
      <c r="I278">
        <f>IF(H278=0,0,G278/H278)</f>
        <v/>
      </c>
      <c r="J278" t="n">
        <v>1</v>
      </c>
      <c r="K278" t="n">
        <v>4</v>
      </c>
      <c r="L278" t="n">
        <v>1</v>
      </c>
      <c r="M278" t="n">
        <v>10.1993114484316</v>
      </c>
      <c r="N278">
        <f>D278/2</f>
        <v/>
      </c>
      <c r="O278">
        <f>N278+E278</f>
        <v/>
      </c>
      <c r="P278">
        <f>I278&lt;0.05</f>
        <v/>
      </c>
    </row>
    <row r="279">
      <c r="A279" t="inlineStr">
        <is>
          <t>FOODS_3_166</t>
        </is>
      </c>
      <c r="B279" t="n">
        <v>2.431417054018989</v>
      </c>
      <c r="C279" t="n">
        <v>17.01991937813293</v>
      </c>
      <c r="D279" t="n">
        <v>18</v>
      </c>
      <c r="E279" s="15" t="n">
        <v>1</v>
      </c>
      <c r="F279">
        <f>C279+E279</f>
        <v/>
      </c>
      <c r="G279" t="n">
        <v>0</v>
      </c>
      <c r="H279" t="n">
        <v>68</v>
      </c>
      <c r="I279">
        <f>IF(H279=0,0,G279/H279)</f>
        <v/>
      </c>
      <c r="J279" t="n">
        <v>0</v>
      </c>
      <c r="K279" t="n">
        <v>4</v>
      </c>
      <c r="L279" t="n">
        <v>0</v>
      </c>
      <c r="M279" t="n">
        <v>9.877062235275783</v>
      </c>
      <c r="N279">
        <f>D279/2</f>
        <v/>
      </c>
      <c r="O279">
        <f>N279+E279</f>
        <v/>
      </c>
      <c r="P279">
        <f>I279&lt;0.05</f>
        <v/>
      </c>
    </row>
    <row r="280">
      <c r="A280" t="inlineStr">
        <is>
          <t>FOODS_3_167</t>
        </is>
      </c>
      <c r="B280" t="n">
        <v>3.140623157101973</v>
      </c>
      <c r="C280" t="n">
        <v>21.98436209971381</v>
      </c>
      <c r="D280" t="n">
        <v>22</v>
      </c>
      <c r="E280" s="15" t="n">
        <v>0</v>
      </c>
      <c r="F280">
        <f>C280+E280</f>
        <v/>
      </c>
      <c r="G280" t="n">
        <v>0</v>
      </c>
      <c r="H280" t="n">
        <v>62</v>
      </c>
      <c r="I280">
        <f>IF(H280=0,0,G280/H280)</f>
        <v/>
      </c>
      <c r="J280" t="n">
        <v>0</v>
      </c>
      <c r="K280" t="n">
        <v>3</v>
      </c>
      <c r="L280" t="n">
        <v>0</v>
      </c>
      <c r="M280" t="n">
        <v>17.91293352828523</v>
      </c>
      <c r="N280">
        <f>D280/2</f>
        <v/>
      </c>
      <c r="O280">
        <f>N280+E280</f>
        <v/>
      </c>
      <c r="P280">
        <f>I280&lt;0.05</f>
        <v/>
      </c>
    </row>
    <row r="281">
      <c r="A281" t="inlineStr">
        <is>
          <t>FOODS_3_169</t>
        </is>
      </c>
      <c r="B281" t="n">
        <v>2.65155231326364</v>
      </c>
      <c r="C281" t="n">
        <v>18.56086619284548</v>
      </c>
      <c r="D281" t="n">
        <v>19</v>
      </c>
      <c r="E281" s="15" t="n">
        <v>0</v>
      </c>
      <c r="F281">
        <f>C281+E281</f>
        <v/>
      </c>
      <c r="G281" t="n">
        <v>0.4391338071545192</v>
      </c>
      <c r="H281" t="n">
        <v>53</v>
      </c>
      <c r="I281">
        <f>IF(H281=0,0,G281/H281)</f>
        <v/>
      </c>
      <c r="J281" t="n">
        <v>1</v>
      </c>
      <c r="K281" t="n">
        <v>3</v>
      </c>
      <c r="L281" t="n">
        <v>1</v>
      </c>
      <c r="M281" t="n">
        <v>15.12189260331008</v>
      </c>
      <c r="N281">
        <f>D281/2</f>
        <v/>
      </c>
      <c r="O281">
        <f>N281+E281</f>
        <v/>
      </c>
      <c r="P281">
        <f>I281&lt;0.05</f>
        <v/>
      </c>
    </row>
    <row r="282">
      <c r="A282" t="inlineStr">
        <is>
          <t>FOODS_3_172</t>
        </is>
      </c>
      <c r="B282" t="n">
        <v>1.94411169434374</v>
      </c>
      <c r="C282" t="n">
        <v>13.60878186040618</v>
      </c>
      <c r="D282" t="n">
        <v>14</v>
      </c>
      <c r="E282" s="15" t="n">
        <v>4</v>
      </c>
      <c r="F282">
        <f>C282+E282</f>
        <v/>
      </c>
      <c r="G282" t="n">
        <v>3.391218139593818</v>
      </c>
      <c r="H282" t="n">
        <v>68</v>
      </c>
      <c r="I282">
        <f>IF(H282=0,0,G282/H282)</f>
        <v/>
      </c>
      <c r="J282" t="n">
        <v>2</v>
      </c>
      <c r="K282" t="n">
        <v>5</v>
      </c>
      <c r="L282" t="n">
        <v>1</v>
      </c>
      <c r="M282" t="n">
        <v>9.698816262418477</v>
      </c>
      <c r="N282">
        <f>D282/2</f>
        <v/>
      </c>
      <c r="O282">
        <f>N282+E282</f>
        <v/>
      </c>
      <c r="P282">
        <f>I282&lt;0.05</f>
        <v/>
      </c>
    </row>
    <row r="283">
      <c r="A283" t="inlineStr">
        <is>
          <t>FOODS_3_174</t>
        </is>
      </c>
      <c r="B283" t="n">
        <v>2.385336387627837</v>
      </c>
      <c r="C283" t="n">
        <v>16.69735471339485</v>
      </c>
      <c r="D283" t="n">
        <v>17</v>
      </c>
      <c r="E283" s="15" t="n">
        <v>2</v>
      </c>
      <c r="F283">
        <f>C283+E283</f>
        <v/>
      </c>
      <c r="G283" t="n">
        <v>2.302645286605145</v>
      </c>
      <c r="H283" t="n">
        <v>60</v>
      </c>
      <c r="I283">
        <f>IF(H283=0,0,G283/H283)</f>
        <v/>
      </c>
      <c r="J283" t="n">
        <v>1</v>
      </c>
      <c r="K283" t="n">
        <v>4</v>
      </c>
      <c r="L283" t="n">
        <v>1</v>
      </c>
      <c r="M283" t="n">
        <v>12.06296307098314</v>
      </c>
      <c r="N283">
        <f>D283/2</f>
        <v/>
      </c>
      <c r="O283">
        <f>N283+E283</f>
        <v/>
      </c>
      <c r="P283">
        <f>I283&lt;0.05</f>
        <v/>
      </c>
    </row>
    <row r="284">
      <c r="A284" t="inlineStr">
        <is>
          <t>FOODS_3_177</t>
        </is>
      </c>
      <c r="B284" t="n">
        <v>4.681807798475769</v>
      </c>
      <c r="C284" t="n">
        <v>32.77265458933039</v>
      </c>
      <c r="D284" t="n">
        <v>33</v>
      </c>
      <c r="E284" s="15" t="n">
        <v>0</v>
      </c>
      <c r="F284">
        <f>C284+E284</f>
        <v/>
      </c>
      <c r="G284" t="n">
        <v>0</v>
      </c>
      <c r="H284" t="n">
        <v>70</v>
      </c>
      <c r="I284">
        <f>IF(H284=0,0,G284/H284)</f>
        <v/>
      </c>
      <c r="J284" t="n">
        <v>0</v>
      </c>
      <c r="K284" t="n">
        <v>3</v>
      </c>
      <c r="L284" t="n">
        <v>0</v>
      </c>
      <c r="M284" t="n">
        <v>30.37979744647324</v>
      </c>
      <c r="N284">
        <f>D284/2</f>
        <v/>
      </c>
      <c r="O284">
        <f>N284+E284</f>
        <v/>
      </c>
      <c r="P284">
        <f>I284&lt;0.05</f>
        <v/>
      </c>
    </row>
    <row r="285">
      <c r="A285" t="inlineStr">
        <is>
          <t>FOODS_3_181</t>
        </is>
      </c>
      <c r="B285" t="n">
        <v>3.661269020105791</v>
      </c>
      <c r="C285" t="n">
        <v>25.62888314074054</v>
      </c>
      <c r="D285" t="n">
        <v>26</v>
      </c>
      <c r="E285" s="15" t="n">
        <v>0</v>
      </c>
      <c r="F285">
        <f>C285+E285</f>
        <v/>
      </c>
      <c r="G285" t="n">
        <v>0</v>
      </c>
      <c r="H285" t="n">
        <v>67</v>
      </c>
      <c r="I285">
        <f>IF(H285=0,0,G285/H285)</f>
        <v/>
      </c>
      <c r="J285" t="n">
        <v>0</v>
      </c>
      <c r="K285" t="n">
        <v>3</v>
      </c>
      <c r="L285" t="n">
        <v>0</v>
      </c>
      <c r="M285" t="n">
        <v>20.62888314074053</v>
      </c>
      <c r="N285">
        <f>D285/2</f>
        <v/>
      </c>
      <c r="O285">
        <f>N285+E285</f>
        <v/>
      </c>
      <c r="P285">
        <f>I285&lt;0.05</f>
        <v/>
      </c>
    </row>
    <row r="286">
      <c r="A286" t="inlineStr">
        <is>
          <t>FOODS_3_183</t>
        </is>
      </c>
      <c r="B286" t="n">
        <v>1.730837117605395</v>
      </c>
      <c r="C286" t="n">
        <v>12.11585982323777</v>
      </c>
      <c r="D286" t="n">
        <v>13</v>
      </c>
      <c r="E286" s="15" t="n">
        <v>2</v>
      </c>
      <c r="F286">
        <f>C286+E286</f>
        <v/>
      </c>
      <c r="G286" t="n">
        <v>0</v>
      </c>
      <c r="H286" t="n">
        <v>55</v>
      </c>
      <c r="I286">
        <f>IF(H286=0,0,G286/H286)</f>
        <v/>
      </c>
      <c r="J286" t="n">
        <v>0</v>
      </c>
      <c r="K286" t="n">
        <v>5</v>
      </c>
      <c r="L286" t="n">
        <v>0</v>
      </c>
      <c r="M286" t="n">
        <v>8.365859823237768</v>
      </c>
      <c r="N286">
        <f>D286/2</f>
        <v/>
      </c>
      <c r="O286">
        <f>N286+E286</f>
        <v/>
      </c>
      <c r="P286">
        <f>I286&lt;0.05</f>
        <v/>
      </c>
    </row>
    <row r="287">
      <c r="A287" t="inlineStr">
        <is>
          <t>FOODS_3_184</t>
        </is>
      </c>
      <c r="B287" t="n">
        <v>2.384682301604556</v>
      </c>
      <c r="C287" t="n">
        <v>16.69277611123189</v>
      </c>
      <c r="D287" t="n">
        <v>17</v>
      </c>
      <c r="E287" s="15" t="n">
        <v>0</v>
      </c>
      <c r="F287">
        <f>C287+E287</f>
        <v/>
      </c>
      <c r="G287" t="n">
        <v>1.307223888768107</v>
      </c>
      <c r="H287" t="n">
        <v>62</v>
      </c>
      <c r="I287">
        <f>IF(H287=0,0,G287/H287)</f>
        <v/>
      </c>
      <c r="J287" t="n">
        <v>1</v>
      </c>
      <c r="K287" t="n">
        <v>4</v>
      </c>
      <c r="L287" t="n">
        <v>1</v>
      </c>
      <c r="M287" t="n">
        <v>10.46988059526398</v>
      </c>
      <c r="N287">
        <f>D287/2</f>
        <v/>
      </c>
      <c r="O287">
        <f>N287+E287</f>
        <v/>
      </c>
      <c r="P287">
        <f>I287&lt;0.05</f>
        <v/>
      </c>
    </row>
    <row r="288">
      <c r="A288" t="inlineStr">
        <is>
          <t>FOODS_3_187</t>
        </is>
      </c>
      <c r="B288" t="n">
        <v>2.253983404470927</v>
      </c>
      <c r="C288" t="n">
        <v>15.77788383129649</v>
      </c>
      <c r="D288" t="n">
        <v>16</v>
      </c>
      <c r="E288" s="15" t="n">
        <v>9</v>
      </c>
      <c r="F288">
        <f>C288+E288</f>
        <v/>
      </c>
      <c r="G288" t="n">
        <v>4.222116168703511</v>
      </c>
      <c r="H288" t="n">
        <v>93</v>
      </c>
      <c r="I288">
        <f>IF(H288=0,0,G288/H288)</f>
        <v/>
      </c>
      <c r="J288" t="n">
        <v>2</v>
      </c>
      <c r="K288" t="n">
        <v>6</v>
      </c>
      <c r="L288" t="n">
        <v>2</v>
      </c>
      <c r="M288" t="n">
        <v>11.37307647502657</v>
      </c>
      <c r="N288">
        <f>D288/2</f>
        <v/>
      </c>
      <c r="O288">
        <f>N288+E288</f>
        <v/>
      </c>
      <c r="P288">
        <f>I288&lt;0.05</f>
        <v/>
      </c>
    </row>
    <row r="289">
      <c r="A289" t="inlineStr">
        <is>
          <t>FOODS_3_190</t>
        </is>
      </c>
      <c r="B289" t="n">
        <v>2.263809489006995</v>
      </c>
      <c r="C289" t="n">
        <v>15.84666642304896</v>
      </c>
      <c r="D289" t="n">
        <v>16</v>
      </c>
      <c r="E289" s="15" t="n">
        <v>0</v>
      </c>
      <c r="F289">
        <f>C289+E289</f>
        <v/>
      </c>
      <c r="G289" t="n">
        <v>0</v>
      </c>
      <c r="H289" t="n">
        <v>61</v>
      </c>
      <c r="I289">
        <f>IF(H289=0,0,G289/H289)</f>
        <v/>
      </c>
      <c r="J289" t="n">
        <v>0</v>
      </c>
      <c r="K289" t="n">
        <v>4</v>
      </c>
      <c r="L289" t="n">
        <v>0</v>
      </c>
      <c r="M289" t="n">
        <v>11.73952356590611</v>
      </c>
      <c r="N289">
        <f>D289/2</f>
        <v/>
      </c>
      <c r="O289">
        <f>N289+E289</f>
        <v/>
      </c>
      <c r="P289">
        <f>I289&lt;0.05</f>
        <v/>
      </c>
    </row>
    <row r="290">
      <c r="A290" t="inlineStr">
        <is>
          <t>FOODS_3_191</t>
        </is>
      </c>
      <c r="B290" t="n">
        <v>1.896241645957665</v>
      </c>
      <c r="C290" t="n">
        <v>13.27369152170366</v>
      </c>
      <c r="D290" t="n">
        <v>14</v>
      </c>
      <c r="E290" s="15" t="n">
        <v>4</v>
      </c>
      <c r="F290">
        <f>C290+E290</f>
        <v/>
      </c>
      <c r="G290" t="n">
        <v>2.726308478296342</v>
      </c>
      <c r="H290" t="n">
        <v>62</v>
      </c>
      <c r="I290">
        <f>IF(H290=0,0,G290/H290)</f>
        <v/>
      </c>
      <c r="J290" t="n">
        <v>1</v>
      </c>
      <c r="K290" t="n">
        <v>5</v>
      </c>
      <c r="L290" t="n">
        <v>1</v>
      </c>
      <c r="M290" t="n">
        <v>8.942488253071382</v>
      </c>
      <c r="N290">
        <f>D290/2</f>
        <v/>
      </c>
      <c r="O290">
        <f>N290+E290</f>
        <v/>
      </c>
      <c r="P290">
        <f>I290&lt;0.05</f>
        <v/>
      </c>
    </row>
    <row r="291">
      <c r="A291" t="inlineStr">
        <is>
          <t>FOODS_3_192</t>
        </is>
      </c>
      <c r="B291" t="n">
        <v>3.882027229103787</v>
      </c>
      <c r="C291" t="n">
        <v>27.17419060372651</v>
      </c>
      <c r="D291" t="n">
        <v>28</v>
      </c>
      <c r="E291" s="15" t="n">
        <v>5</v>
      </c>
      <c r="F291">
        <f>C291+E291</f>
        <v/>
      </c>
      <c r="G291" t="n">
        <v>5.825809396273485</v>
      </c>
      <c r="H291" t="n">
        <v>143</v>
      </c>
      <c r="I291">
        <f>IF(H291=0,0,G291/H291)</f>
        <v/>
      </c>
      <c r="J291" t="n">
        <v>3</v>
      </c>
      <c r="K291" t="n">
        <v>5</v>
      </c>
      <c r="L291" t="n">
        <v>2</v>
      </c>
      <c r="M291" t="n">
        <v>12.17396260780831</v>
      </c>
      <c r="N291">
        <f>D291/2</f>
        <v/>
      </c>
      <c r="O291">
        <f>N291+E291</f>
        <v/>
      </c>
      <c r="P291">
        <f>I291&lt;0.05</f>
        <v/>
      </c>
    </row>
    <row r="292">
      <c r="A292" t="inlineStr">
        <is>
          <t>FOODS_3_201</t>
        </is>
      </c>
      <c r="B292" t="n">
        <v>3.404680665581496</v>
      </c>
      <c r="C292" t="n">
        <v>23.83276465907047</v>
      </c>
      <c r="D292" t="n">
        <v>24</v>
      </c>
      <c r="E292" s="15" t="n">
        <v>1</v>
      </c>
      <c r="F292">
        <f>C292+E292</f>
        <v/>
      </c>
      <c r="G292" t="n">
        <v>3.167235340929526</v>
      </c>
      <c r="H292" t="n">
        <v>103</v>
      </c>
      <c r="I292">
        <f>IF(H292=0,0,G292/H292)</f>
        <v/>
      </c>
      <c r="J292" t="n">
        <v>2</v>
      </c>
      <c r="K292" t="n">
        <v>5</v>
      </c>
      <c r="L292" t="n">
        <v>1</v>
      </c>
      <c r="M292" t="n">
        <v>11.07727940340544</v>
      </c>
      <c r="N292">
        <f>D292/2</f>
        <v/>
      </c>
      <c r="O292">
        <f>N292+E292</f>
        <v/>
      </c>
      <c r="P292">
        <f>I292&lt;0.05</f>
        <v/>
      </c>
    </row>
    <row r="293">
      <c r="A293" t="inlineStr">
        <is>
          <t>FOODS_3_202</t>
        </is>
      </c>
      <c r="B293" t="n">
        <v>21.1314802473144</v>
      </c>
      <c r="C293" t="n">
        <v>147.9203617312008</v>
      </c>
      <c r="D293" t="n">
        <v>148</v>
      </c>
      <c r="E293" s="15" t="n">
        <v>0</v>
      </c>
      <c r="F293">
        <f>C293+E293</f>
        <v/>
      </c>
      <c r="G293" t="n">
        <v>0</v>
      </c>
      <c r="H293" t="n">
        <v>560</v>
      </c>
      <c r="I293">
        <f>IF(H293=0,0,G293/H293)</f>
        <v/>
      </c>
      <c r="J293" t="n">
        <v>0</v>
      </c>
      <c r="K293" t="n">
        <v>4</v>
      </c>
      <c r="L293" t="n">
        <v>0</v>
      </c>
      <c r="M293" t="n">
        <v>92.6703617312008</v>
      </c>
      <c r="N293">
        <f>D293/2</f>
        <v/>
      </c>
      <c r="O293">
        <f>N293+E293</f>
        <v/>
      </c>
      <c r="P293">
        <f>I293&lt;0.05</f>
        <v/>
      </c>
    </row>
    <row r="294">
      <c r="A294" t="inlineStr">
        <is>
          <t>FOODS_3_203</t>
        </is>
      </c>
      <c r="B294" t="n">
        <v>3.25545465394264</v>
      </c>
      <c r="C294" t="n">
        <v>22.78818257759848</v>
      </c>
      <c r="D294" t="n">
        <v>23</v>
      </c>
      <c r="E294" s="15" t="n">
        <v>0</v>
      </c>
      <c r="F294">
        <f>C294+E294</f>
        <v/>
      </c>
      <c r="G294" t="n">
        <v>3.211817422401516</v>
      </c>
      <c r="H294" t="n">
        <v>81</v>
      </c>
      <c r="I294">
        <f>IF(H294=0,0,G294/H294)</f>
        <v/>
      </c>
      <c r="J294" t="n">
        <v>2</v>
      </c>
      <c r="K294" t="n">
        <v>4</v>
      </c>
      <c r="L294" t="n">
        <v>1</v>
      </c>
      <c r="M294" t="n">
        <v>13.0693183174283</v>
      </c>
      <c r="N294">
        <f>D294/2</f>
        <v/>
      </c>
      <c r="O294">
        <f>N294+E294</f>
        <v/>
      </c>
      <c r="P294">
        <f>I294&lt;0.05</f>
        <v/>
      </c>
    </row>
    <row r="295">
      <c r="A295" t="inlineStr">
        <is>
          <t>FOODS_3_206</t>
        </is>
      </c>
      <c r="B295" t="n">
        <v>0.9655717323892513</v>
      </c>
      <c r="C295" t="n">
        <v>6.759002126724759</v>
      </c>
      <c r="D295" t="n">
        <v>7</v>
      </c>
      <c r="E295" s="15" t="n">
        <v>14</v>
      </c>
      <c r="F295">
        <f>C295+E295</f>
        <v/>
      </c>
      <c r="G295" t="n">
        <v>3.240997873275241</v>
      </c>
      <c r="H295" t="n">
        <v>67</v>
      </c>
      <c r="I295">
        <f>IF(H295=0,0,G295/H295)</f>
        <v/>
      </c>
      <c r="J295" t="n">
        <v>1</v>
      </c>
      <c r="K295" t="n">
        <v>10</v>
      </c>
      <c r="L295" t="n">
        <v>1</v>
      </c>
      <c r="M295" t="n">
        <v>9.029679255018674</v>
      </c>
      <c r="N295">
        <f>D295/2</f>
        <v/>
      </c>
      <c r="O295">
        <f>N295+E295</f>
        <v/>
      </c>
      <c r="P295">
        <f>I295&lt;0.05</f>
        <v/>
      </c>
    </row>
    <row r="296">
      <c r="A296" t="inlineStr">
        <is>
          <t>FOODS_3_208</t>
        </is>
      </c>
      <c r="B296" t="n">
        <v>1.946856784274626</v>
      </c>
      <c r="C296" t="n">
        <v>13.62799748992238</v>
      </c>
      <c r="D296" t="n">
        <v>14</v>
      </c>
      <c r="E296" s="15" t="n">
        <v>1</v>
      </c>
      <c r="F296">
        <f>C296+E296</f>
        <v/>
      </c>
      <c r="G296" t="n">
        <v>1.372002510077621</v>
      </c>
      <c r="H296" t="n">
        <v>56</v>
      </c>
      <c r="I296">
        <f>IF(H296=0,0,G296/H296)</f>
        <v/>
      </c>
      <c r="J296" t="n">
        <v>1</v>
      </c>
      <c r="K296" t="n">
        <v>4</v>
      </c>
      <c r="L296" t="n">
        <v>1</v>
      </c>
      <c r="M296" t="n">
        <v>9.073141422812791</v>
      </c>
      <c r="N296">
        <f>D296/2</f>
        <v/>
      </c>
      <c r="O296">
        <f>N296+E296</f>
        <v/>
      </c>
      <c r="P296">
        <f>I296&lt;0.05</f>
        <v/>
      </c>
    </row>
    <row r="297">
      <c r="A297" t="inlineStr">
        <is>
          <t>FOODS_3_212</t>
        </is>
      </c>
      <c r="B297" t="n">
        <v>1.295170344889706</v>
      </c>
      <c r="C297" t="n">
        <v>9.066192414227944</v>
      </c>
      <c r="D297" t="n">
        <v>10</v>
      </c>
      <c r="E297" s="15" t="n">
        <v>6</v>
      </c>
      <c r="F297">
        <f>C297+E297</f>
        <v/>
      </c>
      <c r="G297" t="n">
        <v>1.933807585772056</v>
      </c>
      <c r="H297" t="n">
        <v>50</v>
      </c>
      <c r="I297">
        <f>IF(H297=0,0,G297/H297)</f>
        <v/>
      </c>
      <c r="J297" t="n">
        <v>1</v>
      </c>
      <c r="K297" t="n">
        <v>5</v>
      </c>
      <c r="L297" t="n">
        <v>1</v>
      </c>
      <c r="M297" t="n">
        <v>8.085612660191702</v>
      </c>
      <c r="N297">
        <f>D297/2</f>
        <v/>
      </c>
      <c r="O297">
        <f>N297+E297</f>
        <v/>
      </c>
      <c r="P297">
        <f>I297&lt;0.05</f>
        <v/>
      </c>
    </row>
    <row r="298">
      <c r="A298" t="inlineStr">
        <is>
          <t>FOODS_3_214</t>
        </is>
      </c>
      <c r="B298" t="n">
        <v>2.633086904516555</v>
      </c>
      <c r="C298" t="n">
        <v>18.43160833161589</v>
      </c>
      <c r="D298" t="n">
        <v>19</v>
      </c>
      <c r="E298" s="15" t="n">
        <v>2</v>
      </c>
      <c r="F298">
        <f>C298+E298</f>
        <v/>
      </c>
      <c r="G298" t="n">
        <v>2.568391668384113</v>
      </c>
      <c r="H298" t="n">
        <v>58</v>
      </c>
      <c r="I298">
        <f>IF(H298=0,0,G298/H298)</f>
        <v/>
      </c>
      <c r="J298" t="n">
        <v>1</v>
      </c>
      <c r="K298" t="n">
        <v>3</v>
      </c>
      <c r="L298" t="n">
        <v>1</v>
      </c>
      <c r="M298" t="n">
        <v>16.66391607106055</v>
      </c>
      <c r="N298">
        <f>D298/2</f>
        <v/>
      </c>
      <c r="O298">
        <f>N298+E298</f>
        <v/>
      </c>
      <c r="P298">
        <f>I298&lt;0.05</f>
        <v/>
      </c>
    </row>
    <row r="299">
      <c r="A299" t="inlineStr">
        <is>
          <t>FOODS_3_215</t>
        </is>
      </c>
      <c r="B299" t="n">
        <v>2.180944756746923</v>
      </c>
      <c r="C299" t="n">
        <v>15.26661329722846</v>
      </c>
      <c r="D299" t="n">
        <v>16</v>
      </c>
      <c r="E299" s="15" t="n">
        <v>7</v>
      </c>
      <c r="F299">
        <f>C299+E299</f>
        <v/>
      </c>
      <c r="G299" t="n">
        <v>2.73338670277154</v>
      </c>
      <c r="H299" t="n">
        <v>71</v>
      </c>
      <c r="I299">
        <f>IF(H299=0,0,G299/H299)</f>
        <v/>
      </c>
      <c r="J299" t="n">
        <v>1</v>
      </c>
      <c r="K299" t="n">
        <v>5</v>
      </c>
      <c r="L299" t="n">
        <v>1</v>
      </c>
      <c r="M299" t="n">
        <v>13.77141713512039</v>
      </c>
      <c r="N299">
        <f>D299/2</f>
        <v/>
      </c>
      <c r="O299">
        <f>N299+E299</f>
        <v/>
      </c>
      <c r="P299">
        <f>I299&lt;0.05</f>
        <v/>
      </c>
    </row>
    <row r="300">
      <c r="A300" t="inlineStr">
        <is>
          <t>FOODS_3_219</t>
        </is>
      </c>
      <c r="B300" t="n">
        <v>5.598697936878261</v>
      </c>
      <c r="C300" t="n">
        <v>39.19088555814783</v>
      </c>
      <c r="D300" t="n">
        <v>40</v>
      </c>
      <c r="E300" s="15" t="n">
        <v>4</v>
      </c>
      <c r="F300">
        <f>C300+E300</f>
        <v/>
      </c>
      <c r="G300" t="n">
        <v>7.809114441852174</v>
      </c>
      <c r="H300" t="n">
        <v>172</v>
      </c>
      <c r="I300">
        <f>IF(H300=0,0,G300/H300)</f>
        <v/>
      </c>
      <c r="J300" t="n">
        <v>1</v>
      </c>
      <c r="K300" t="n">
        <v>5</v>
      </c>
      <c r="L300" t="n">
        <v>1</v>
      </c>
      <c r="M300" t="n">
        <v>20.46947547674596</v>
      </c>
      <c r="N300">
        <f>D300/2</f>
        <v/>
      </c>
      <c r="O300">
        <f>N300+E300</f>
        <v/>
      </c>
      <c r="P300">
        <f>I300&lt;0.05</f>
        <v/>
      </c>
    </row>
    <row r="301">
      <c r="A301" t="inlineStr">
        <is>
          <t>FOODS_3_226</t>
        </is>
      </c>
      <c r="B301" t="n">
        <v>5.958174946656883</v>
      </c>
      <c r="C301" t="n">
        <v>41.70722462659818</v>
      </c>
      <c r="D301" t="n">
        <v>42</v>
      </c>
      <c r="E301" s="15" t="n">
        <v>13</v>
      </c>
      <c r="F301">
        <f>C301+E301</f>
        <v/>
      </c>
      <c r="G301" t="n">
        <v>7.292775373401817</v>
      </c>
      <c r="H301" t="n">
        <v>238</v>
      </c>
      <c r="I301">
        <f>IF(H301=0,0,G301/H301)</f>
        <v/>
      </c>
      <c r="J301" t="n">
        <v>1</v>
      </c>
      <c r="K301" t="n">
        <v>6</v>
      </c>
      <c r="L301" t="n">
        <v>1</v>
      </c>
      <c r="M301" t="n">
        <v>20.90154813427104</v>
      </c>
      <c r="N301">
        <f>D301/2</f>
        <v/>
      </c>
      <c r="O301">
        <f>N301+E301</f>
        <v/>
      </c>
      <c r="P301">
        <f>I301&lt;0.05</f>
        <v/>
      </c>
    </row>
    <row r="302">
      <c r="A302" t="inlineStr">
        <is>
          <t>FOODS_3_227</t>
        </is>
      </c>
      <c r="B302" t="n">
        <v>4.417531238331135</v>
      </c>
      <c r="C302" t="n">
        <v>30.92271866831794</v>
      </c>
      <c r="D302" t="n">
        <v>31</v>
      </c>
      <c r="E302" s="15" t="n">
        <v>5</v>
      </c>
      <c r="F302">
        <f>C302+E302</f>
        <v/>
      </c>
      <c r="G302" t="n">
        <v>6.077281331682059</v>
      </c>
      <c r="H302" t="n">
        <v>123</v>
      </c>
      <c r="I302">
        <f>IF(H302=0,0,G302/H302)</f>
        <v/>
      </c>
      <c r="J302" t="n">
        <v>1</v>
      </c>
      <c r="K302" t="n">
        <v>4</v>
      </c>
      <c r="L302" t="n">
        <v>1</v>
      </c>
      <c r="M302" t="n">
        <v>23.0272678104674</v>
      </c>
      <c r="N302">
        <f>D302/2</f>
        <v/>
      </c>
      <c r="O302">
        <f>N302+E302</f>
        <v/>
      </c>
      <c r="P302">
        <f>I302&lt;0.05</f>
        <v/>
      </c>
    </row>
    <row r="303">
      <c r="A303" t="inlineStr">
        <is>
          <t>FOODS_3_228</t>
        </is>
      </c>
      <c r="B303" t="n">
        <v>6.598769600525674</v>
      </c>
      <c r="C303" t="n">
        <v>46.19138720367972</v>
      </c>
      <c r="D303" t="n">
        <v>47</v>
      </c>
      <c r="E303" s="15" t="n">
        <v>0</v>
      </c>
      <c r="F303">
        <f>C303+E303</f>
        <v/>
      </c>
      <c r="G303" t="n">
        <v>0.8086127963202827</v>
      </c>
      <c r="H303" t="n">
        <v>173</v>
      </c>
      <c r="I303">
        <f>IF(H303=0,0,G303/H303)</f>
        <v/>
      </c>
      <c r="J303" t="n">
        <v>1</v>
      </c>
      <c r="K303" t="n">
        <v>4</v>
      </c>
      <c r="L303" t="n">
        <v>1</v>
      </c>
      <c r="M303" t="n">
        <v>28.57672582935994</v>
      </c>
      <c r="N303">
        <f>D303/2</f>
        <v/>
      </c>
      <c r="O303">
        <f>N303+E303</f>
        <v/>
      </c>
      <c r="P303">
        <f>I303&lt;0.05</f>
        <v/>
      </c>
    </row>
    <row r="304">
      <c r="A304" t="inlineStr">
        <is>
          <t>FOODS_3_230</t>
        </is>
      </c>
      <c r="B304" t="n">
        <v>4.227549778723318</v>
      </c>
      <c r="C304" t="n">
        <v>29.59284845106322</v>
      </c>
      <c r="D304" t="n">
        <v>30</v>
      </c>
      <c r="E304" s="15" t="n">
        <v>0</v>
      </c>
      <c r="F304">
        <f>C304+E304</f>
        <v/>
      </c>
      <c r="G304" t="n">
        <v>0</v>
      </c>
      <c r="H304" t="n">
        <v>103</v>
      </c>
      <c r="I304">
        <f>IF(H304=0,0,G304/H304)</f>
        <v/>
      </c>
      <c r="J304" t="n">
        <v>0</v>
      </c>
      <c r="K304" t="n">
        <v>4</v>
      </c>
      <c r="L304" t="n">
        <v>0</v>
      </c>
      <c r="M304" t="n">
        <v>19.91427702249179</v>
      </c>
      <c r="N304">
        <f>D304/2</f>
        <v/>
      </c>
      <c r="O304">
        <f>N304+E304</f>
        <v/>
      </c>
      <c r="P304">
        <f>I304&lt;0.05</f>
        <v/>
      </c>
    </row>
    <row r="305">
      <c r="A305" t="inlineStr">
        <is>
          <t>FOODS_3_231</t>
        </is>
      </c>
      <c r="B305" t="n">
        <v>4.70425566122511</v>
      </c>
      <c r="C305" t="n">
        <v>32.92978962857577</v>
      </c>
      <c r="D305" t="n">
        <v>33</v>
      </c>
      <c r="E305" s="15" t="n">
        <v>22</v>
      </c>
      <c r="F305">
        <f>C305+E305</f>
        <v/>
      </c>
      <c r="G305" t="n">
        <v>11.07021037142423</v>
      </c>
      <c r="H305" t="n">
        <v>223</v>
      </c>
      <c r="I305">
        <f>IF(H305=0,0,G305/H305)</f>
        <v/>
      </c>
      <c r="J305" t="n">
        <v>4</v>
      </c>
      <c r="K305" t="n">
        <v>7</v>
      </c>
      <c r="L305" t="n">
        <v>3</v>
      </c>
      <c r="M305" t="n">
        <v>20.31953015816559</v>
      </c>
      <c r="N305">
        <f>D305/2</f>
        <v/>
      </c>
      <c r="O305">
        <f>N305+E305</f>
        <v/>
      </c>
      <c r="P305">
        <f>I305&lt;0.05</f>
        <v/>
      </c>
    </row>
    <row r="306">
      <c r="A306" t="inlineStr">
        <is>
          <t>FOODS_3_232</t>
        </is>
      </c>
      <c r="B306" t="n">
        <v>2.226574130481052</v>
      </c>
      <c r="C306" t="n">
        <v>15.58601891336736</v>
      </c>
      <c r="D306" t="n">
        <v>16</v>
      </c>
      <c r="E306" s="15" t="n">
        <v>2</v>
      </c>
      <c r="F306">
        <f>C306+E306</f>
        <v/>
      </c>
      <c r="G306" t="n">
        <v>3.413981086632639</v>
      </c>
      <c r="H306" t="n">
        <v>82</v>
      </c>
      <c r="I306">
        <f>IF(H306=0,0,G306/H306)</f>
        <v/>
      </c>
      <c r="J306" t="n">
        <v>2</v>
      </c>
      <c r="K306" t="n">
        <v>5</v>
      </c>
      <c r="L306" t="n">
        <v>1</v>
      </c>
      <c r="M306" t="n">
        <v>6.640360520244172</v>
      </c>
      <c r="N306">
        <f>D306/2</f>
        <v/>
      </c>
      <c r="O306">
        <f>N306+E306</f>
        <v/>
      </c>
      <c r="P306">
        <f>I306&lt;0.05</f>
        <v/>
      </c>
    </row>
    <row r="307">
      <c r="A307" t="inlineStr">
        <is>
          <t>FOODS_3_233</t>
        </is>
      </c>
      <c r="B307" t="n">
        <v>24.82665623899538</v>
      </c>
      <c r="C307" t="n">
        <v>173.7865936729676</v>
      </c>
      <c r="D307" t="n">
        <v>174</v>
      </c>
      <c r="E307" s="15" t="n">
        <v>0</v>
      </c>
      <c r="F307">
        <f>C307+E307</f>
        <v/>
      </c>
      <c r="G307" t="n">
        <v>0</v>
      </c>
      <c r="H307" t="n">
        <v>481</v>
      </c>
      <c r="I307">
        <f>IF(H307=0,0,G307/H307)</f>
        <v/>
      </c>
      <c r="J307" t="n">
        <v>0</v>
      </c>
      <c r="K307" t="n">
        <v>3</v>
      </c>
      <c r="L307" t="n">
        <v>0</v>
      </c>
      <c r="M307" t="n">
        <v>129.2865936729677</v>
      </c>
      <c r="N307">
        <f>D307/2</f>
        <v/>
      </c>
      <c r="O307">
        <f>N307+E307</f>
        <v/>
      </c>
      <c r="P307">
        <f>I307&lt;0.05</f>
        <v/>
      </c>
    </row>
    <row r="308">
      <c r="A308" t="inlineStr">
        <is>
          <t>FOODS_3_236</t>
        </is>
      </c>
      <c r="B308" t="n">
        <v>7.481644412460795</v>
      </c>
      <c r="C308" t="n">
        <v>52.37151088722557</v>
      </c>
      <c r="D308" t="n">
        <v>53</v>
      </c>
      <c r="E308" s="15" t="n">
        <v>0</v>
      </c>
      <c r="F308">
        <f>C308+E308</f>
        <v/>
      </c>
      <c r="G308" t="n">
        <v>0</v>
      </c>
      <c r="H308" t="n">
        <v>132</v>
      </c>
      <c r="I308">
        <f>IF(H308=0,0,G308/H308)</f>
        <v/>
      </c>
      <c r="J308" t="n">
        <v>0</v>
      </c>
      <c r="K308" t="n">
        <v>3</v>
      </c>
      <c r="L308" t="n">
        <v>0</v>
      </c>
      <c r="M308" t="n">
        <v>42.58579660151128</v>
      </c>
      <c r="N308">
        <f>D308/2</f>
        <v/>
      </c>
      <c r="O308">
        <f>N308+E308</f>
        <v/>
      </c>
      <c r="P308">
        <f>I308&lt;0.05</f>
        <v/>
      </c>
    </row>
    <row r="309">
      <c r="A309" t="inlineStr">
        <is>
          <t>FOODS_3_238</t>
        </is>
      </c>
      <c r="B309" t="n">
        <v>4.668497155889296</v>
      </c>
      <c r="C309" t="n">
        <v>32.67948009122507</v>
      </c>
      <c r="D309" t="n">
        <v>33</v>
      </c>
      <c r="E309" s="15" t="n">
        <v>0</v>
      </c>
      <c r="F309">
        <f>C309+E309</f>
        <v/>
      </c>
      <c r="G309" t="n">
        <v>5.320519908774926</v>
      </c>
      <c r="H309" t="n">
        <v>133</v>
      </c>
      <c r="I309">
        <f>IF(H309=0,0,G309/H309)</f>
        <v/>
      </c>
      <c r="J309" t="n">
        <v>1</v>
      </c>
      <c r="K309" t="n">
        <v>4</v>
      </c>
      <c r="L309" t="n">
        <v>1</v>
      </c>
      <c r="M309" t="n">
        <v>17.35530578596255</v>
      </c>
      <c r="N309">
        <f>D309/2</f>
        <v/>
      </c>
      <c r="O309">
        <f>N309+E309</f>
        <v/>
      </c>
      <c r="P309">
        <f>I309&lt;0.05</f>
        <v/>
      </c>
    </row>
    <row r="310">
      <c r="A310" t="inlineStr">
        <is>
          <t>FOODS_3_241</t>
        </is>
      </c>
      <c r="B310" t="n">
        <v>1.618862300061815</v>
      </c>
      <c r="C310" t="n">
        <v>11.3320361004327</v>
      </c>
      <c r="D310" t="n">
        <v>12</v>
      </c>
      <c r="E310" s="15" t="n">
        <v>13</v>
      </c>
      <c r="F310">
        <f>C310+E310</f>
        <v/>
      </c>
      <c r="G310" t="n">
        <v>2.667963899567297</v>
      </c>
      <c r="H310" t="n">
        <v>93</v>
      </c>
      <c r="I310">
        <f>IF(H310=0,0,G310/H310)</f>
        <v/>
      </c>
      <c r="J310" t="n">
        <v>3</v>
      </c>
      <c r="K310" t="n">
        <v>8</v>
      </c>
      <c r="L310" t="n">
        <v>2</v>
      </c>
      <c r="M310" t="n">
        <v>8.99958303228194</v>
      </c>
      <c r="N310">
        <f>D310/2</f>
        <v/>
      </c>
      <c r="O310">
        <f>N310+E310</f>
        <v/>
      </c>
      <c r="P310">
        <f>I310&lt;0.05</f>
        <v/>
      </c>
    </row>
    <row r="311">
      <c r="A311" t="inlineStr">
        <is>
          <t>FOODS_3_242</t>
        </is>
      </c>
      <c r="B311" t="n">
        <v>2.027203496144691</v>
      </c>
      <c r="C311" t="n">
        <v>14.19042447301284</v>
      </c>
      <c r="D311" t="n">
        <v>15</v>
      </c>
      <c r="E311" s="15" t="n">
        <v>0</v>
      </c>
      <c r="F311">
        <f>C311+E311</f>
        <v/>
      </c>
      <c r="G311" t="n">
        <v>0.8095755269871621</v>
      </c>
      <c r="H311" t="n">
        <v>54</v>
      </c>
      <c r="I311">
        <f>IF(H311=0,0,G311/H311)</f>
        <v/>
      </c>
      <c r="J311" t="n">
        <v>1</v>
      </c>
      <c r="K311" t="n">
        <v>4</v>
      </c>
      <c r="L311" t="n">
        <v>1</v>
      </c>
      <c r="M311" t="n">
        <v>8.040805244217037</v>
      </c>
      <c r="N311">
        <f>D311/2</f>
        <v/>
      </c>
      <c r="O311">
        <f>N311+E311</f>
        <v/>
      </c>
      <c r="P311">
        <f>I311&lt;0.05</f>
        <v/>
      </c>
    </row>
    <row r="312">
      <c r="A312" t="inlineStr">
        <is>
          <t>FOODS_3_245</t>
        </is>
      </c>
      <c r="B312" t="n">
        <v>5.711600513984791</v>
      </c>
      <c r="C312" t="n">
        <v>39.98120359789353</v>
      </c>
      <c r="D312" t="n">
        <v>40</v>
      </c>
      <c r="E312" s="15" t="n">
        <v>2</v>
      </c>
      <c r="F312">
        <f>C312+E312</f>
        <v/>
      </c>
      <c r="G312" t="n">
        <v>9.018796402106467</v>
      </c>
      <c r="H312" t="n">
        <v>191</v>
      </c>
      <c r="I312">
        <f>IF(H312=0,0,G312/H312)</f>
        <v/>
      </c>
      <c r="J312" t="n">
        <v>3</v>
      </c>
      <c r="K312" t="n">
        <v>5</v>
      </c>
      <c r="L312" t="n">
        <v>2</v>
      </c>
      <c r="M312" t="n">
        <v>18.02698738473628</v>
      </c>
      <c r="N312">
        <f>D312/2</f>
        <v/>
      </c>
      <c r="O312">
        <f>N312+E312</f>
        <v/>
      </c>
      <c r="P312">
        <f>I312&lt;0.05</f>
        <v/>
      </c>
    </row>
    <row r="313">
      <c r="A313" t="inlineStr">
        <is>
          <t>FOODS_3_249</t>
        </is>
      </c>
      <c r="B313" t="n">
        <v>3.056770786709817</v>
      </c>
      <c r="C313" t="n">
        <v>21.39739550696872</v>
      </c>
      <c r="D313" t="n">
        <v>22</v>
      </c>
      <c r="E313" s="15" t="n">
        <v>2</v>
      </c>
      <c r="F313">
        <f>C313+E313</f>
        <v/>
      </c>
      <c r="G313" t="n">
        <v>3.602604493031279</v>
      </c>
      <c r="H313" t="n">
        <v>85</v>
      </c>
      <c r="I313">
        <f>IF(H313=0,0,G313/H313)</f>
        <v/>
      </c>
      <c r="J313" t="n">
        <v>1</v>
      </c>
      <c r="K313" t="n">
        <v>4</v>
      </c>
      <c r="L313" t="n">
        <v>1</v>
      </c>
      <c r="M313" t="n">
        <v>14.10528250497766</v>
      </c>
      <c r="N313">
        <f>D313/2</f>
        <v/>
      </c>
      <c r="O313">
        <f>N313+E313</f>
        <v/>
      </c>
      <c r="P313">
        <f>I313&lt;0.05</f>
        <v/>
      </c>
    </row>
    <row r="314">
      <c r="A314" t="inlineStr">
        <is>
          <t>FOODS_3_252</t>
        </is>
      </c>
      <c r="B314" t="n">
        <v>38.77947976190961</v>
      </c>
      <c r="C314" t="n">
        <v>271.4563583333672</v>
      </c>
      <c r="D314" t="n">
        <v>272</v>
      </c>
      <c r="E314" s="15" t="n">
        <v>71</v>
      </c>
      <c r="F314">
        <f>C314+E314</f>
        <v/>
      </c>
      <c r="G314" t="n">
        <v>69.54364166663277</v>
      </c>
      <c r="H314" t="n">
        <v>1405</v>
      </c>
      <c r="I314">
        <f>IF(H314=0,0,G314/H314)</f>
        <v/>
      </c>
      <c r="J314" t="n">
        <v>2</v>
      </c>
      <c r="K314" t="n">
        <v>5</v>
      </c>
      <c r="L314" t="n">
        <v>2</v>
      </c>
      <c r="M314" t="n">
        <v>141.5977910714358</v>
      </c>
      <c r="N314">
        <f>D314/2</f>
        <v/>
      </c>
      <c r="O314">
        <f>N314+E314</f>
        <v/>
      </c>
      <c r="P314">
        <f>I314&lt;0.05</f>
        <v/>
      </c>
    </row>
    <row r="315">
      <c r="A315" t="inlineStr">
        <is>
          <t>FOODS_3_253</t>
        </is>
      </c>
      <c r="B315" t="n">
        <v>1.885121110250646</v>
      </c>
      <c r="C315" t="n">
        <v>13.19584777175453</v>
      </c>
      <c r="D315" t="n">
        <v>14</v>
      </c>
      <c r="E315" s="15" t="n">
        <v>2</v>
      </c>
      <c r="F315">
        <f>C315+E315</f>
        <v/>
      </c>
      <c r="G315" t="n">
        <v>2.804152228245474</v>
      </c>
      <c r="H315" t="n">
        <v>57</v>
      </c>
      <c r="I315">
        <f>IF(H315=0,0,G315/H315)</f>
        <v/>
      </c>
      <c r="J315" t="n">
        <v>2</v>
      </c>
      <c r="K315" t="n">
        <v>4</v>
      </c>
      <c r="L315" t="n">
        <v>2</v>
      </c>
      <c r="M315" t="n">
        <v>8.434824522518827</v>
      </c>
      <c r="N315">
        <f>D315/2</f>
        <v/>
      </c>
      <c r="O315">
        <f>N315+E315</f>
        <v/>
      </c>
      <c r="P315">
        <f>I315&lt;0.05</f>
        <v/>
      </c>
    </row>
    <row r="316">
      <c r="A316" t="inlineStr">
        <is>
          <t>FOODS_3_257</t>
        </is>
      </c>
      <c r="B316" t="n">
        <v>2.829323685893104</v>
      </c>
      <c r="C316" t="n">
        <v>19.80526580125172</v>
      </c>
      <c r="D316" t="n">
        <v>20</v>
      </c>
      <c r="E316" s="15" t="n">
        <v>0</v>
      </c>
      <c r="F316">
        <f>C316+E316</f>
        <v/>
      </c>
      <c r="G316" t="n">
        <v>0</v>
      </c>
      <c r="H316" t="n">
        <v>64</v>
      </c>
      <c r="I316">
        <f>IF(H316=0,0,G316/H316)</f>
        <v/>
      </c>
      <c r="J316" t="n">
        <v>0</v>
      </c>
      <c r="K316" t="n">
        <v>4</v>
      </c>
      <c r="L316" t="n">
        <v>0</v>
      </c>
      <c r="M316" t="n">
        <v>13.94812294410887</v>
      </c>
      <c r="N316">
        <f>D316/2</f>
        <v/>
      </c>
      <c r="O316">
        <f>N316+E316</f>
        <v/>
      </c>
      <c r="P316">
        <f>I316&lt;0.05</f>
        <v/>
      </c>
    </row>
    <row r="317">
      <c r="A317" t="inlineStr">
        <is>
          <t>FOODS_3_258</t>
        </is>
      </c>
      <c r="B317" t="n">
        <v>4.277071974610414</v>
      </c>
      <c r="C317" t="n">
        <v>29.9395038222729</v>
      </c>
      <c r="D317" t="n">
        <v>30</v>
      </c>
      <c r="E317" s="15" t="n">
        <v>7</v>
      </c>
      <c r="F317">
        <f>C317+E317</f>
        <v/>
      </c>
      <c r="G317" t="n">
        <v>7.060496177727103</v>
      </c>
      <c r="H317" t="n">
        <v>151</v>
      </c>
      <c r="I317">
        <f>IF(H317=0,0,G317/H317)</f>
        <v/>
      </c>
      <c r="J317" t="n">
        <v>2</v>
      </c>
      <c r="K317" t="n">
        <v>5</v>
      </c>
      <c r="L317" t="n">
        <v>1</v>
      </c>
      <c r="M317" t="n">
        <v>17.02491139683445</v>
      </c>
      <c r="N317">
        <f>D317/2</f>
        <v/>
      </c>
      <c r="O317">
        <f>N317+E317</f>
        <v/>
      </c>
      <c r="P317">
        <f>I317&lt;0.05</f>
        <v/>
      </c>
    </row>
    <row r="318">
      <c r="A318" t="inlineStr">
        <is>
          <t>FOODS_3_259</t>
        </is>
      </c>
      <c r="B318" t="n">
        <v>5.800111347348467</v>
      </c>
      <c r="C318" t="n">
        <v>40.60077943143926</v>
      </c>
      <c r="D318" t="n">
        <v>41</v>
      </c>
      <c r="E318" s="15" t="n">
        <v>0</v>
      </c>
      <c r="F318">
        <f>C318+E318</f>
        <v/>
      </c>
      <c r="G318" t="n">
        <v>0</v>
      </c>
      <c r="H318" t="n">
        <v>124</v>
      </c>
      <c r="I318">
        <f>IF(H318=0,0,G318/H318)</f>
        <v/>
      </c>
      <c r="J318" t="n">
        <v>0</v>
      </c>
      <c r="K318" t="n">
        <v>4</v>
      </c>
      <c r="L318" t="n">
        <v>0</v>
      </c>
      <c r="M318" t="n">
        <v>28.88649371715355</v>
      </c>
      <c r="N318">
        <f>D318/2</f>
        <v/>
      </c>
      <c r="O318">
        <f>N318+E318</f>
        <v/>
      </c>
      <c r="P318">
        <f>I318&lt;0.05</f>
        <v/>
      </c>
    </row>
    <row r="319">
      <c r="A319" t="inlineStr">
        <is>
          <t>FOODS_3_261</t>
        </is>
      </c>
      <c r="B319" t="n">
        <v>3.63272348587405</v>
      </c>
      <c r="C319" t="n">
        <v>25.42906440111835</v>
      </c>
      <c r="D319" t="n">
        <v>26</v>
      </c>
      <c r="E319" s="15" t="n">
        <v>2</v>
      </c>
      <c r="F319">
        <f>C319+E319</f>
        <v/>
      </c>
      <c r="G319" t="n">
        <v>4.57093559888165</v>
      </c>
      <c r="H319" t="n">
        <v>108</v>
      </c>
      <c r="I319">
        <f>IF(H319=0,0,G319/H319)</f>
        <v/>
      </c>
      <c r="J319" t="n">
        <v>1</v>
      </c>
      <c r="K319" t="n">
        <v>4</v>
      </c>
      <c r="L319" t="n">
        <v>1</v>
      </c>
      <c r="M319" t="n">
        <v>16.84218885794168</v>
      </c>
      <c r="N319">
        <f>D319/2</f>
        <v/>
      </c>
      <c r="O319">
        <f>N319+E319</f>
        <v/>
      </c>
      <c r="P319">
        <f>I319&lt;0.05</f>
        <v/>
      </c>
    </row>
    <row r="320">
      <c r="A320" t="inlineStr">
        <is>
          <t>FOODS_3_263</t>
        </is>
      </c>
      <c r="B320" t="n">
        <v>14.9824503204698</v>
      </c>
      <c r="C320" t="n">
        <v>104.8771522432886</v>
      </c>
      <c r="D320" t="n">
        <v>105</v>
      </c>
      <c r="E320" s="15" t="n">
        <v>0</v>
      </c>
      <c r="F320">
        <f>C320+E320</f>
        <v/>
      </c>
      <c r="G320" t="n">
        <v>12.12284775671141</v>
      </c>
      <c r="H320" t="n">
        <v>432</v>
      </c>
      <c r="I320">
        <f>IF(H320=0,0,G320/H320)</f>
        <v/>
      </c>
      <c r="J320" t="n">
        <v>2</v>
      </c>
      <c r="K320" t="n">
        <v>4</v>
      </c>
      <c r="L320" t="n">
        <v>2</v>
      </c>
      <c r="M320" t="n">
        <v>50.69796588806327</v>
      </c>
      <c r="N320">
        <f>D320/2</f>
        <v/>
      </c>
      <c r="O320">
        <f>N320+E320</f>
        <v/>
      </c>
      <c r="P320">
        <f>I320&lt;0.05</f>
        <v/>
      </c>
    </row>
    <row r="321">
      <c r="A321" t="inlineStr">
        <is>
          <t>FOODS_3_265</t>
        </is>
      </c>
      <c r="B321" t="n">
        <v>3.428973821898305</v>
      </c>
      <c r="C321" t="n">
        <v>24.00281675328814</v>
      </c>
      <c r="D321" t="n">
        <v>25</v>
      </c>
      <c r="E321" s="15" t="n">
        <v>2</v>
      </c>
      <c r="F321">
        <f>C321+E321</f>
        <v/>
      </c>
      <c r="G321" t="n">
        <v>4.997183246711863</v>
      </c>
      <c r="H321" t="n">
        <v>101</v>
      </c>
      <c r="I321">
        <f>IF(H321=0,0,G321/H321)</f>
        <v/>
      </c>
      <c r="J321" t="n">
        <v>2</v>
      </c>
      <c r="K321" t="n">
        <v>4</v>
      </c>
      <c r="L321" t="n">
        <v>2</v>
      </c>
      <c r="M321" t="n">
        <v>14.85774644713317</v>
      </c>
      <c r="N321">
        <f>D321/2</f>
        <v/>
      </c>
      <c r="O321">
        <f>N321+E321</f>
        <v/>
      </c>
      <c r="P321">
        <f>I321&lt;0.05</f>
        <v/>
      </c>
    </row>
    <row r="322">
      <c r="A322" t="inlineStr">
        <is>
          <t>FOODS_3_273</t>
        </is>
      </c>
      <c r="B322" t="n">
        <v>2.275583885269473</v>
      </c>
      <c r="C322" t="n">
        <v>15.92908719688631</v>
      </c>
      <c r="D322" t="n">
        <v>16</v>
      </c>
      <c r="E322" s="15" t="n">
        <v>2</v>
      </c>
      <c r="F322">
        <f>C322+E322</f>
        <v/>
      </c>
      <c r="G322" t="n">
        <v>3.070912803113686</v>
      </c>
      <c r="H322" t="n">
        <v>67</v>
      </c>
      <c r="I322">
        <f>IF(H322=0,0,G322/H322)</f>
        <v/>
      </c>
      <c r="J322" t="n">
        <v>2</v>
      </c>
      <c r="K322" t="n">
        <v>4</v>
      </c>
      <c r="L322" t="n">
        <v>2</v>
      </c>
      <c r="M322" t="n">
        <v>10.02051868504707</v>
      </c>
      <c r="N322">
        <f>D322/2</f>
        <v/>
      </c>
      <c r="O322">
        <f>N322+E322</f>
        <v/>
      </c>
      <c r="P322">
        <f>I322&lt;0.05</f>
        <v/>
      </c>
    </row>
    <row r="323">
      <c r="A323" t="inlineStr">
        <is>
          <t>FOODS_3_277</t>
        </is>
      </c>
      <c r="B323" t="n">
        <v>2.497028484945793</v>
      </c>
      <c r="C323" t="n">
        <v>17.47919939462055</v>
      </c>
      <c r="D323" t="n">
        <v>18</v>
      </c>
      <c r="E323" s="15" t="n">
        <v>0</v>
      </c>
      <c r="F323">
        <f>C323+E323</f>
        <v/>
      </c>
      <c r="G323" t="n">
        <v>0</v>
      </c>
      <c r="H323" t="n">
        <v>65</v>
      </c>
      <c r="I323">
        <f>IF(H323=0,0,G323/H323)</f>
        <v/>
      </c>
      <c r="J323" t="n">
        <v>0</v>
      </c>
      <c r="K323" t="n">
        <v>4</v>
      </c>
      <c r="L323" t="n">
        <v>0</v>
      </c>
      <c r="M323" t="n">
        <v>9.193485108906257</v>
      </c>
      <c r="N323">
        <f>D323/2</f>
        <v/>
      </c>
      <c r="O323">
        <f>N323+E323</f>
        <v/>
      </c>
      <c r="P323">
        <f>I323&lt;0.05</f>
        <v/>
      </c>
    </row>
    <row r="324">
      <c r="A324" t="inlineStr">
        <is>
          <t>FOODS_3_279</t>
        </is>
      </c>
      <c r="B324" t="n">
        <v>4.059704648851072</v>
      </c>
      <c r="C324" t="n">
        <v>28.41793254195751</v>
      </c>
      <c r="D324" t="n">
        <v>29</v>
      </c>
      <c r="E324" s="15" t="n">
        <v>0</v>
      </c>
      <c r="F324">
        <f>C324+E324</f>
        <v/>
      </c>
      <c r="G324" t="n">
        <v>0</v>
      </c>
      <c r="H324" t="n">
        <v>52</v>
      </c>
      <c r="I324">
        <f>IF(H324=0,0,G324/H324)</f>
        <v/>
      </c>
      <c r="J324" t="n">
        <v>0</v>
      </c>
      <c r="K324" t="n">
        <v>2</v>
      </c>
      <c r="L324" t="n">
        <v>0</v>
      </c>
      <c r="M324" t="n">
        <v>31.31078968481464</v>
      </c>
      <c r="N324">
        <f>D324/2</f>
        <v/>
      </c>
      <c r="O324">
        <f>N324+E324</f>
        <v/>
      </c>
      <c r="P324">
        <f>I324&lt;0.05</f>
        <v/>
      </c>
    </row>
    <row r="325">
      <c r="A325" t="inlineStr">
        <is>
          <t>FOODS_3_281</t>
        </is>
      </c>
      <c r="B325" t="n">
        <v>16.5745782250986</v>
      </c>
      <c r="C325" t="n">
        <v>116.0220475756902</v>
      </c>
      <c r="D325" t="n">
        <v>117</v>
      </c>
      <c r="E325" s="15" t="n">
        <v>0</v>
      </c>
      <c r="F325">
        <f>C325+E325</f>
        <v/>
      </c>
      <c r="G325" t="n">
        <v>4.977952424309819</v>
      </c>
      <c r="H325" t="n">
        <v>440</v>
      </c>
      <c r="I325">
        <f>IF(H325=0,0,G325/H325)</f>
        <v/>
      </c>
      <c r="J325" t="n">
        <v>1</v>
      </c>
      <c r="K325" t="n">
        <v>4</v>
      </c>
      <c r="L325" t="n">
        <v>1</v>
      </c>
      <c r="M325" t="n">
        <v>68.89758162336219</v>
      </c>
      <c r="N325">
        <f>D325/2</f>
        <v/>
      </c>
      <c r="O325">
        <f>N325+E325</f>
        <v/>
      </c>
      <c r="P325">
        <f>I325&lt;0.05</f>
        <v/>
      </c>
    </row>
    <row r="326">
      <c r="A326" t="inlineStr">
        <is>
          <t>FOODS_3_282</t>
        </is>
      </c>
      <c r="B326" t="n">
        <v>44.49048818276794</v>
      </c>
      <c r="C326" t="n">
        <v>311.4334172793756</v>
      </c>
      <c r="D326" t="n">
        <v>312</v>
      </c>
      <c r="E326" s="15" t="n">
        <v>0</v>
      </c>
      <c r="F326">
        <f>C326+E326</f>
        <v/>
      </c>
      <c r="G326" t="n">
        <v>0</v>
      </c>
      <c r="H326" t="n">
        <v>745</v>
      </c>
      <c r="I326">
        <f>IF(H326=0,0,G326/H326)</f>
        <v/>
      </c>
      <c r="J326" t="n">
        <v>0</v>
      </c>
      <c r="K326" t="n">
        <v>3</v>
      </c>
      <c r="L326" t="n">
        <v>0</v>
      </c>
      <c r="M326" t="n">
        <v>268.8262744222325</v>
      </c>
      <c r="N326">
        <f>D326/2</f>
        <v/>
      </c>
      <c r="O326">
        <f>N326+E326</f>
        <v/>
      </c>
      <c r="P326">
        <f>I326&lt;0.05</f>
        <v/>
      </c>
    </row>
    <row r="327">
      <c r="A327" t="inlineStr">
        <is>
          <t>FOODS_3_283</t>
        </is>
      </c>
      <c r="B327" t="n">
        <v>5.198621327946144</v>
      </c>
      <c r="C327" t="n">
        <v>36.39034929562301</v>
      </c>
      <c r="D327" t="n">
        <v>37</v>
      </c>
      <c r="E327" s="15" t="n">
        <v>0</v>
      </c>
      <c r="F327">
        <f>C327+E327</f>
        <v/>
      </c>
      <c r="G327" t="n">
        <v>0</v>
      </c>
      <c r="H327" t="n">
        <v>59</v>
      </c>
      <c r="I327">
        <f>IF(H327=0,0,G327/H327)</f>
        <v/>
      </c>
      <c r="J327" t="n">
        <v>0</v>
      </c>
      <c r="K327" t="n">
        <v>2</v>
      </c>
      <c r="L327" t="n">
        <v>0</v>
      </c>
      <c r="M327" t="n">
        <v>41.28320643848015</v>
      </c>
      <c r="N327">
        <f>D327/2</f>
        <v/>
      </c>
      <c r="O327">
        <f>N327+E327</f>
        <v/>
      </c>
      <c r="P327">
        <f>I327&lt;0.05</f>
        <v/>
      </c>
    </row>
    <row r="328">
      <c r="A328" t="inlineStr">
        <is>
          <t>FOODS_3_285</t>
        </is>
      </c>
      <c r="B328" t="n">
        <v>4.5799228196208</v>
      </c>
      <c r="C328" t="n">
        <v>32.0594597373456</v>
      </c>
      <c r="D328" t="n">
        <v>33</v>
      </c>
      <c r="E328" s="15" t="n">
        <v>2</v>
      </c>
      <c r="F328">
        <f>C328+E328</f>
        <v/>
      </c>
      <c r="G328" t="n">
        <v>4.940540262654402</v>
      </c>
      <c r="H328" t="n">
        <v>114</v>
      </c>
      <c r="I328">
        <f>IF(H328=0,0,G328/H328)</f>
        <v/>
      </c>
      <c r="J328" t="n">
        <v>1</v>
      </c>
      <c r="K328" t="n">
        <v>4</v>
      </c>
      <c r="L328" t="n">
        <v>1</v>
      </c>
      <c r="M328" t="n">
        <v>25.08667977486766</v>
      </c>
      <c r="N328">
        <f>D328/2</f>
        <v/>
      </c>
      <c r="O328">
        <f>N328+E328</f>
        <v/>
      </c>
      <c r="P328">
        <f>I328&lt;0.05</f>
        <v/>
      </c>
    </row>
    <row r="329">
      <c r="A329" t="inlineStr">
        <is>
          <t>FOODS_3_288</t>
        </is>
      </c>
      <c r="B329" t="n">
        <v>33.0843241706534</v>
      </c>
      <c r="C329" t="n">
        <v>231.5902691945738</v>
      </c>
      <c r="D329" t="n">
        <v>232</v>
      </c>
      <c r="E329" s="15" t="n">
        <v>1</v>
      </c>
      <c r="F329">
        <f>C329+E329</f>
        <v/>
      </c>
      <c r="G329" t="n">
        <v>49.40973080542622</v>
      </c>
      <c r="H329" t="n">
        <v>993</v>
      </c>
      <c r="I329">
        <f>IF(H329=0,0,G329/H329)</f>
        <v/>
      </c>
      <c r="J329" t="n">
        <v>2</v>
      </c>
      <c r="K329" t="n">
        <v>5</v>
      </c>
      <c r="L329" t="n">
        <v>2</v>
      </c>
      <c r="M329" t="n">
        <v>115.5550576845515</v>
      </c>
      <c r="N329">
        <f>D329/2</f>
        <v/>
      </c>
      <c r="O329">
        <f>N329+E329</f>
        <v/>
      </c>
      <c r="P329">
        <f>I329&lt;0.05</f>
        <v/>
      </c>
    </row>
    <row r="330">
      <c r="A330" t="inlineStr">
        <is>
          <t>FOODS_3_291</t>
        </is>
      </c>
      <c r="B330" t="n">
        <v>2.370944855292271</v>
      </c>
      <c r="C330" t="n">
        <v>16.5966139870459</v>
      </c>
      <c r="D330" t="n">
        <v>17</v>
      </c>
      <c r="E330" s="15" t="n">
        <v>1</v>
      </c>
      <c r="F330">
        <f>C330+E330</f>
        <v/>
      </c>
      <c r="G330" t="n">
        <v>3.403386012954101</v>
      </c>
      <c r="H330" t="n">
        <v>69</v>
      </c>
      <c r="I330">
        <f>IF(H330=0,0,G330/H330)</f>
        <v/>
      </c>
      <c r="J330" t="n">
        <v>2</v>
      </c>
      <c r="K330" t="n">
        <v>4</v>
      </c>
      <c r="L330" t="n">
        <v>2</v>
      </c>
      <c r="M330" t="n">
        <v>8.270702997224122</v>
      </c>
      <c r="N330">
        <f>D330/2</f>
        <v/>
      </c>
      <c r="O330">
        <f>N330+E330</f>
        <v/>
      </c>
      <c r="P330">
        <f>I330&lt;0.05</f>
        <v/>
      </c>
    </row>
    <row r="331">
      <c r="A331" t="inlineStr">
        <is>
          <t>FOODS_3_292</t>
        </is>
      </c>
      <c r="B331" t="n">
        <v>5.254076259744994</v>
      </c>
      <c r="C331" t="n">
        <v>36.77853381821496</v>
      </c>
      <c r="D331" t="n">
        <v>37</v>
      </c>
      <c r="E331" s="15" t="n">
        <v>4</v>
      </c>
      <c r="F331">
        <f>C331+E331</f>
        <v/>
      </c>
      <c r="G331" t="n">
        <v>8.22146618178504</v>
      </c>
      <c r="H331" t="n">
        <v>177</v>
      </c>
      <c r="I331">
        <f>IF(H331=0,0,G331/H331)</f>
        <v/>
      </c>
      <c r="J331" t="n">
        <v>2</v>
      </c>
      <c r="K331" t="n">
        <v>5</v>
      </c>
      <c r="L331" t="n">
        <v>2</v>
      </c>
      <c r="M331" t="n">
        <v>21.1471764155998</v>
      </c>
      <c r="N331">
        <f>D331/2</f>
        <v/>
      </c>
      <c r="O331">
        <f>N331+E331</f>
        <v/>
      </c>
      <c r="P331">
        <f>I331&lt;0.05</f>
        <v/>
      </c>
    </row>
    <row r="332">
      <c r="A332" t="inlineStr">
        <is>
          <t>FOODS_3_294</t>
        </is>
      </c>
      <c r="B332" t="n">
        <v>2.18167786275781</v>
      </c>
      <c r="C332" t="n">
        <v>15.27174503930467</v>
      </c>
      <c r="D332" t="n">
        <v>16</v>
      </c>
      <c r="E332" s="15" t="n">
        <v>6</v>
      </c>
      <c r="F332">
        <f>C332+E332</f>
        <v/>
      </c>
      <c r="G332" t="n">
        <v>4.728254960695331</v>
      </c>
      <c r="H332" t="n">
        <v>101</v>
      </c>
      <c r="I332">
        <f>IF(H332=0,0,G332/H332)</f>
        <v/>
      </c>
      <c r="J332" t="n">
        <v>2</v>
      </c>
      <c r="K332" t="n">
        <v>7</v>
      </c>
      <c r="L332" t="n">
        <v>1</v>
      </c>
      <c r="M332" t="n">
        <v>8.441383042732976</v>
      </c>
      <c r="N332">
        <f>D332/2</f>
        <v/>
      </c>
      <c r="O332">
        <f>N332+E332</f>
        <v/>
      </c>
      <c r="P332">
        <f>I332&lt;0.05</f>
        <v/>
      </c>
    </row>
    <row r="333">
      <c r="A333" t="inlineStr">
        <is>
          <t>FOODS_3_295</t>
        </is>
      </c>
      <c r="B333" t="n">
        <v>15.94629023845495</v>
      </c>
      <c r="C333" t="n">
        <v>111.6240316691847</v>
      </c>
      <c r="D333" t="n">
        <v>112</v>
      </c>
      <c r="E333" s="15" t="n">
        <v>0</v>
      </c>
      <c r="F333">
        <f>C333+E333</f>
        <v/>
      </c>
      <c r="G333" t="n">
        <v>3.37596833081534</v>
      </c>
      <c r="H333" t="n">
        <v>380</v>
      </c>
      <c r="I333">
        <f>IF(H333=0,0,G333/H333)</f>
        <v/>
      </c>
      <c r="J333" t="n">
        <v>1</v>
      </c>
      <c r="K333" t="n">
        <v>4</v>
      </c>
      <c r="L333" t="n">
        <v>1</v>
      </c>
      <c r="M333" t="n">
        <v>71.3834444060209</v>
      </c>
      <c r="N333">
        <f>D333/2</f>
        <v/>
      </c>
      <c r="O333">
        <f>N333+E333</f>
        <v/>
      </c>
      <c r="P333">
        <f>I333&lt;0.05</f>
        <v/>
      </c>
    </row>
    <row r="334">
      <c r="A334" t="inlineStr">
        <is>
          <t>FOODS_3_299</t>
        </is>
      </c>
      <c r="B334" t="n">
        <v>7.775255849173701</v>
      </c>
      <c r="C334" t="n">
        <v>54.4267909442159</v>
      </c>
      <c r="D334" t="n">
        <v>55</v>
      </c>
      <c r="E334" s="15" t="n">
        <v>4</v>
      </c>
      <c r="F334">
        <f>C334+E334</f>
        <v/>
      </c>
      <c r="G334" t="n">
        <v>10.5732090557841</v>
      </c>
      <c r="H334" t="n">
        <v>256</v>
      </c>
      <c r="I334">
        <f>IF(H334=0,0,G334/H334)</f>
        <v/>
      </c>
      <c r="J334" t="n">
        <v>1</v>
      </c>
      <c r="K334" t="n">
        <v>5</v>
      </c>
      <c r="L334" t="n">
        <v>1</v>
      </c>
      <c r="M334" t="n">
        <v>26.69859805947484</v>
      </c>
      <c r="N334">
        <f>D334/2</f>
        <v/>
      </c>
      <c r="O334">
        <f>N334+E334</f>
        <v/>
      </c>
      <c r="P334">
        <f>I334&lt;0.05</f>
        <v/>
      </c>
    </row>
    <row r="335">
      <c r="A335" t="inlineStr">
        <is>
          <t>FOODS_3_300</t>
        </is>
      </c>
      <c r="B335" t="n">
        <v>3.847604299711452</v>
      </c>
      <c r="C335" t="n">
        <v>26.93323009798016</v>
      </c>
      <c r="D335" t="n">
        <v>27</v>
      </c>
      <c r="E335" s="15" t="n">
        <v>0</v>
      </c>
      <c r="F335">
        <f>C335+E335</f>
        <v/>
      </c>
      <c r="G335" t="n">
        <v>0</v>
      </c>
      <c r="H335" t="n">
        <v>84</v>
      </c>
      <c r="I335">
        <f>IF(H335=0,0,G335/H335)</f>
        <v/>
      </c>
      <c r="J335" t="n">
        <v>0</v>
      </c>
      <c r="K335" t="n">
        <v>4</v>
      </c>
      <c r="L335" t="n">
        <v>0</v>
      </c>
      <c r="M335" t="n">
        <v>21.43323009798018</v>
      </c>
      <c r="N335">
        <f>D335/2</f>
        <v/>
      </c>
      <c r="O335">
        <f>N335+E335</f>
        <v/>
      </c>
      <c r="P335">
        <f>I335&lt;0.05</f>
        <v/>
      </c>
    </row>
    <row r="336">
      <c r="A336" t="inlineStr">
        <is>
          <t>FOODS_3_302</t>
        </is>
      </c>
      <c r="B336" t="n">
        <v>4.908835749124198</v>
      </c>
      <c r="C336" t="n">
        <v>34.36185024386938</v>
      </c>
      <c r="D336" t="n">
        <v>35</v>
      </c>
      <c r="E336" s="15" t="n">
        <v>1</v>
      </c>
      <c r="F336">
        <f>C336+E336</f>
        <v/>
      </c>
      <c r="G336" t="n">
        <v>2.638149756130616</v>
      </c>
      <c r="H336" t="n">
        <v>149</v>
      </c>
      <c r="I336">
        <f>IF(H336=0,0,G336/H336)</f>
        <v/>
      </c>
      <c r="J336" t="n">
        <v>2</v>
      </c>
      <c r="K336" t="n">
        <v>5</v>
      </c>
      <c r="L336" t="n">
        <v>2</v>
      </c>
      <c r="M336" t="n">
        <v>15.73943047036793</v>
      </c>
      <c r="N336">
        <f>D336/2</f>
        <v/>
      </c>
      <c r="O336">
        <f>N336+E336</f>
        <v/>
      </c>
      <c r="P336">
        <f>I336&lt;0.05</f>
        <v/>
      </c>
    </row>
    <row r="337">
      <c r="A337" t="inlineStr">
        <is>
          <t>FOODS_3_304</t>
        </is>
      </c>
      <c r="B337" t="n">
        <v>3.386214747217304</v>
      </c>
      <c r="C337" t="n">
        <v>23.70350323052113</v>
      </c>
      <c r="D337" t="n">
        <v>24</v>
      </c>
      <c r="E337" s="15" t="n">
        <v>7</v>
      </c>
      <c r="F337">
        <f>C337+E337</f>
        <v/>
      </c>
      <c r="G337" t="n">
        <v>5.296496769478871</v>
      </c>
      <c r="H337" t="n">
        <v>121</v>
      </c>
      <c r="I337">
        <f>IF(H337=0,0,G337/H337)</f>
        <v/>
      </c>
      <c r="J337" t="n">
        <v>4</v>
      </c>
      <c r="K337" t="n">
        <v>5</v>
      </c>
      <c r="L337" t="n">
        <v>3</v>
      </c>
      <c r="M337" t="n">
        <v>13.25789354939738</v>
      </c>
      <c r="N337">
        <f>D337/2</f>
        <v/>
      </c>
      <c r="O337">
        <f>N337+E337</f>
        <v/>
      </c>
      <c r="P337">
        <f>I337&lt;0.05</f>
        <v/>
      </c>
    </row>
    <row r="338">
      <c r="A338" t="inlineStr">
        <is>
          <t>FOODS_3_305</t>
        </is>
      </c>
      <c r="B338" t="n">
        <v>4.749828420168783</v>
      </c>
      <c r="C338" t="n">
        <v>33.24879894118148</v>
      </c>
      <c r="D338" t="n">
        <v>34</v>
      </c>
      <c r="E338" s="15" t="n">
        <v>0</v>
      </c>
      <c r="F338">
        <f>C338+E338</f>
        <v/>
      </c>
      <c r="G338" t="n">
        <v>0.7512010588185163</v>
      </c>
      <c r="H338" t="n">
        <v>115</v>
      </c>
      <c r="I338">
        <f>IF(H338=0,0,G338/H338)</f>
        <v/>
      </c>
      <c r="J338" t="n">
        <v>1</v>
      </c>
      <c r="K338" t="n">
        <v>4</v>
      </c>
      <c r="L338" t="n">
        <v>1</v>
      </c>
      <c r="M338" t="n">
        <v>21.66045691596746</v>
      </c>
      <c r="N338">
        <f>D338/2</f>
        <v/>
      </c>
      <c r="O338">
        <f>N338+E338</f>
        <v/>
      </c>
      <c r="P338">
        <f>I338&lt;0.05</f>
        <v/>
      </c>
    </row>
    <row r="339">
      <c r="A339" t="inlineStr">
        <is>
          <t>FOODS_3_307</t>
        </is>
      </c>
      <c r="B339" t="n">
        <v>9.85713083599768</v>
      </c>
      <c r="C339" t="n">
        <v>68.99991585198376</v>
      </c>
      <c r="D339" t="n">
        <v>69</v>
      </c>
      <c r="E339" s="15" t="n">
        <v>0</v>
      </c>
      <c r="F339">
        <f>C339+E339</f>
        <v/>
      </c>
      <c r="G339" t="n">
        <v>0</v>
      </c>
      <c r="H339" t="n">
        <v>265</v>
      </c>
      <c r="I339">
        <f>IF(H339=0,0,G339/H339)</f>
        <v/>
      </c>
      <c r="J339" t="n">
        <v>0</v>
      </c>
      <c r="K339" t="n">
        <v>4</v>
      </c>
      <c r="L339" t="n">
        <v>0</v>
      </c>
      <c r="M339" t="n">
        <v>41.14277299484093</v>
      </c>
      <c r="N339">
        <f>D339/2</f>
        <v/>
      </c>
      <c r="O339">
        <f>N339+E339</f>
        <v/>
      </c>
      <c r="P339">
        <f>I339&lt;0.05</f>
        <v/>
      </c>
    </row>
    <row r="340">
      <c r="A340" t="inlineStr">
        <is>
          <t>FOODS_3_310</t>
        </is>
      </c>
      <c r="B340" t="n">
        <v>2.331633398349005</v>
      </c>
      <c r="C340" t="n">
        <v>16.32143378844303</v>
      </c>
      <c r="D340" t="n">
        <v>17</v>
      </c>
      <c r="E340" s="15" t="n">
        <v>1</v>
      </c>
      <c r="F340">
        <f>C340+E340</f>
        <v/>
      </c>
      <c r="G340" t="n">
        <v>2.678566211556966</v>
      </c>
      <c r="H340" t="n">
        <v>61</v>
      </c>
      <c r="I340">
        <f>IF(H340=0,0,G340/H340)</f>
        <v/>
      </c>
      <c r="J340" t="n">
        <v>1</v>
      </c>
      <c r="K340" t="n">
        <v>4</v>
      </c>
      <c r="L340" t="n">
        <v>1</v>
      </c>
      <c r="M340" t="n">
        <v>12.24745009752351</v>
      </c>
      <c r="N340">
        <f>D340/2</f>
        <v/>
      </c>
      <c r="O340">
        <f>N340+E340</f>
        <v/>
      </c>
      <c r="P340">
        <f>I340&lt;0.05</f>
        <v/>
      </c>
    </row>
    <row r="341">
      <c r="A341" t="inlineStr">
        <is>
          <t>FOODS_3_311</t>
        </is>
      </c>
      <c r="B341" t="n">
        <v>1.633245812316599</v>
      </c>
      <c r="C341" t="n">
        <v>11.43272068621619</v>
      </c>
      <c r="D341" t="n">
        <v>12</v>
      </c>
      <c r="E341" s="15" t="n">
        <v>2</v>
      </c>
      <c r="F341">
        <f>C341+E341</f>
        <v/>
      </c>
      <c r="G341" t="n">
        <v>2.567279313783807</v>
      </c>
      <c r="H341" t="n">
        <v>53</v>
      </c>
      <c r="I341">
        <f>IF(H341=0,0,G341/H341)</f>
        <v/>
      </c>
      <c r="J341" t="n">
        <v>2</v>
      </c>
      <c r="K341" t="n">
        <v>5</v>
      </c>
      <c r="L341" t="n">
        <v>1</v>
      </c>
      <c r="M341" t="n">
        <v>7.3650604656467</v>
      </c>
      <c r="N341">
        <f>D341/2</f>
        <v/>
      </c>
      <c r="O341">
        <f>N341+E341</f>
        <v/>
      </c>
      <c r="P341">
        <f>I341&lt;0.05</f>
        <v/>
      </c>
    </row>
    <row r="342">
      <c r="A342" t="inlineStr">
        <is>
          <t>FOODS_3_313</t>
        </is>
      </c>
      <c r="B342" t="n">
        <v>12.81623823270016</v>
      </c>
      <c r="C342" t="n">
        <v>89.71366762890112</v>
      </c>
      <c r="D342" t="n">
        <v>90</v>
      </c>
      <c r="E342" s="15" t="n">
        <v>0</v>
      </c>
      <c r="F342">
        <f>C342+E342</f>
        <v/>
      </c>
      <c r="G342" t="n">
        <v>0</v>
      </c>
      <c r="H342" t="n">
        <v>316</v>
      </c>
      <c r="I342">
        <f>IF(H342=0,0,G342/H342)</f>
        <v/>
      </c>
      <c r="J342" t="n">
        <v>0</v>
      </c>
      <c r="K342" t="n">
        <v>4</v>
      </c>
      <c r="L342" t="n">
        <v>0</v>
      </c>
      <c r="M342" t="n">
        <v>60.74938191461538</v>
      </c>
      <c r="N342">
        <f>D342/2</f>
        <v/>
      </c>
      <c r="O342">
        <f>N342+E342</f>
        <v/>
      </c>
      <c r="P342">
        <f>I342&lt;0.05</f>
        <v/>
      </c>
    </row>
    <row r="343">
      <c r="A343" t="inlineStr">
        <is>
          <t>FOODS_3_317</t>
        </is>
      </c>
      <c r="B343" t="n">
        <v>2.985891306572923</v>
      </c>
      <c r="C343" t="n">
        <v>20.90123914601046</v>
      </c>
      <c r="D343" t="n">
        <v>21</v>
      </c>
      <c r="E343" s="15" t="n">
        <v>0</v>
      </c>
      <c r="F343">
        <f>C343+E343</f>
        <v/>
      </c>
      <c r="G343" t="n">
        <v>0.0987608539895426</v>
      </c>
      <c r="H343" t="n">
        <v>76</v>
      </c>
      <c r="I343">
        <f>IF(H343=0,0,G343/H343)</f>
        <v/>
      </c>
      <c r="J343" t="n">
        <v>1</v>
      </c>
      <c r="K343" t="n">
        <v>4</v>
      </c>
      <c r="L343" t="n">
        <v>1</v>
      </c>
      <c r="M343" t="n">
        <v>13.8399495425056</v>
      </c>
      <c r="N343">
        <f>D343/2</f>
        <v/>
      </c>
      <c r="O343">
        <f>N343+E343</f>
        <v/>
      </c>
      <c r="P343">
        <f>I343&lt;0.05</f>
        <v/>
      </c>
    </row>
    <row r="344">
      <c r="A344" t="inlineStr">
        <is>
          <t>FOODS_3_318</t>
        </is>
      </c>
      <c r="B344" t="n">
        <v>22.41643764037918</v>
      </c>
      <c r="C344" t="n">
        <v>156.9150634826542</v>
      </c>
      <c r="D344" t="n">
        <v>157</v>
      </c>
      <c r="E344" s="15" t="n">
        <v>0</v>
      </c>
      <c r="F344">
        <f>C344+E344</f>
        <v/>
      </c>
      <c r="G344" t="n">
        <v>2.084936517345767</v>
      </c>
      <c r="H344" t="n">
        <v>566</v>
      </c>
      <c r="I344">
        <f>IF(H344=0,0,G344/H344)</f>
        <v/>
      </c>
      <c r="J344" t="n">
        <v>1</v>
      </c>
      <c r="K344" t="n">
        <v>4</v>
      </c>
      <c r="L344" t="n">
        <v>1</v>
      </c>
      <c r="M344" t="n">
        <v>92.5973554371362</v>
      </c>
      <c r="N344">
        <f>D344/2</f>
        <v/>
      </c>
      <c r="O344">
        <f>N344+E344</f>
        <v/>
      </c>
      <c r="P344">
        <f>I344&lt;0.05</f>
        <v/>
      </c>
    </row>
    <row r="345">
      <c r="A345" t="inlineStr">
        <is>
          <t>FOODS_3_321</t>
        </is>
      </c>
      <c r="B345" t="n">
        <v>4.660664558077394</v>
      </c>
      <c r="C345" t="n">
        <v>32.62465190654176</v>
      </c>
      <c r="D345" t="n">
        <v>33</v>
      </c>
      <c r="E345" s="15" t="n">
        <v>1</v>
      </c>
      <c r="F345">
        <f>C345+E345</f>
        <v/>
      </c>
      <c r="G345" t="n">
        <v>3.375348093458243</v>
      </c>
      <c r="H345" t="n">
        <v>133</v>
      </c>
      <c r="I345">
        <f>IF(H345=0,0,G345/H345)</f>
        <v/>
      </c>
      <c r="J345" t="n">
        <v>2</v>
      </c>
      <c r="K345" t="n">
        <v>4</v>
      </c>
      <c r="L345" t="n">
        <v>2</v>
      </c>
      <c r="M345" t="n">
        <v>19.67837251802387</v>
      </c>
      <c r="N345">
        <f>D345/2</f>
        <v/>
      </c>
      <c r="O345">
        <f>N345+E345</f>
        <v/>
      </c>
      <c r="P345">
        <f>I345&lt;0.05</f>
        <v/>
      </c>
    </row>
    <row r="346">
      <c r="A346" t="inlineStr">
        <is>
          <t>FOODS_3_322</t>
        </is>
      </c>
      <c r="B346" t="n">
        <v>5.340485843767611</v>
      </c>
      <c r="C346" t="n">
        <v>37.38340090637328</v>
      </c>
      <c r="D346" t="n">
        <v>38</v>
      </c>
      <c r="E346" s="15" t="n">
        <v>2</v>
      </c>
      <c r="F346">
        <f>C346+E346</f>
        <v/>
      </c>
      <c r="G346" t="n">
        <v>5.616599093626725</v>
      </c>
      <c r="H346" t="n">
        <v>118</v>
      </c>
      <c r="I346">
        <f>IF(H346=0,0,G346/H346)</f>
        <v/>
      </c>
      <c r="J346" t="n">
        <v>2</v>
      </c>
      <c r="K346" t="n">
        <v>3</v>
      </c>
      <c r="L346" t="n">
        <v>1</v>
      </c>
      <c r="M346" t="n">
        <v>29.3428861027314</v>
      </c>
      <c r="N346">
        <f>D346/2</f>
        <v/>
      </c>
      <c r="O346">
        <f>N346+E346</f>
        <v/>
      </c>
      <c r="P346">
        <f>I346&lt;0.05</f>
        <v/>
      </c>
    </row>
    <row r="347">
      <c r="A347" t="inlineStr">
        <is>
          <t>FOODS_3_324</t>
        </is>
      </c>
      <c r="B347" t="n">
        <v>1.595805863105578</v>
      </c>
      <c r="C347" t="n">
        <v>11.17064104173905</v>
      </c>
      <c r="D347" t="n">
        <v>12</v>
      </c>
      <c r="E347" s="15" t="n">
        <v>62</v>
      </c>
      <c r="F347">
        <f>C347+E347</f>
        <v/>
      </c>
      <c r="G347" t="n">
        <v>9.829358958260954</v>
      </c>
      <c r="H347" t="n">
        <v>246</v>
      </c>
      <c r="I347">
        <f>IF(H347=0,0,G347/H347)</f>
        <v/>
      </c>
      <c r="J347" t="n">
        <v>1</v>
      </c>
      <c r="K347" t="n">
        <v>17</v>
      </c>
      <c r="L347" t="n">
        <v>1</v>
      </c>
      <c r="M347" t="n">
        <v>27.62627747770184</v>
      </c>
      <c r="N347">
        <f>D347/2</f>
        <v/>
      </c>
      <c r="O347">
        <f>N347+E347</f>
        <v/>
      </c>
      <c r="P347">
        <f>I347&lt;0.05</f>
        <v/>
      </c>
    </row>
    <row r="348">
      <c r="A348" t="inlineStr">
        <is>
          <t>FOODS_3_326</t>
        </is>
      </c>
      <c r="B348" t="n">
        <v>2.158372799736088</v>
      </c>
      <c r="C348" t="n">
        <v>15.10860959815261</v>
      </c>
      <c r="D348" t="n">
        <v>16</v>
      </c>
      <c r="E348" s="15" t="n">
        <v>1</v>
      </c>
      <c r="F348">
        <f>C348+E348</f>
        <v/>
      </c>
      <c r="G348" t="n">
        <v>0.8913904018473886</v>
      </c>
      <c r="H348" t="n">
        <v>62</v>
      </c>
      <c r="I348">
        <f>IF(H348=0,0,G348/H348)</f>
        <v/>
      </c>
      <c r="J348" t="n">
        <v>1</v>
      </c>
      <c r="K348" t="n">
        <v>4</v>
      </c>
      <c r="L348" t="n">
        <v>1</v>
      </c>
      <c r="M348" t="n">
        <v>8.978193255691338</v>
      </c>
      <c r="N348">
        <f>D348/2</f>
        <v/>
      </c>
      <c r="O348">
        <f>N348+E348</f>
        <v/>
      </c>
      <c r="P348">
        <f>I348&lt;0.05</f>
        <v/>
      </c>
    </row>
    <row r="349">
      <c r="A349" t="inlineStr">
        <is>
          <t>FOODS_3_327</t>
        </is>
      </c>
      <c r="B349" t="n">
        <v>2.024457194825523</v>
      </c>
      <c r="C349" t="n">
        <v>14.17120036377866</v>
      </c>
      <c r="D349" t="n">
        <v>15</v>
      </c>
      <c r="E349" s="15" t="n">
        <v>2</v>
      </c>
      <c r="F349">
        <f>C349+E349</f>
        <v/>
      </c>
      <c r="G349" t="n">
        <v>1.828799636221341</v>
      </c>
      <c r="H349" t="n">
        <v>70</v>
      </c>
      <c r="I349">
        <f>IF(H349=0,0,G349/H349)</f>
        <v/>
      </c>
      <c r="J349" t="n">
        <v>1</v>
      </c>
      <c r="K349" t="n">
        <v>5</v>
      </c>
      <c r="L349" t="n">
        <v>1</v>
      </c>
      <c r="M349" t="n">
        <v>8.352000064960475</v>
      </c>
      <c r="N349">
        <f>D349/2</f>
        <v/>
      </c>
      <c r="O349">
        <f>N349+E349</f>
        <v/>
      </c>
      <c r="P349">
        <f>I349&lt;0.05</f>
        <v/>
      </c>
    </row>
    <row r="350">
      <c r="A350" t="inlineStr">
        <is>
          <t>FOODS_3_329</t>
        </is>
      </c>
      <c r="B350" t="n">
        <v>25.62716643590043</v>
      </c>
      <c r="C350" t="n">
        <v>179.390165051303</v>
      </c>
      <c r="D350" t="n">
        <v>180</v>
      </c>
      <c r="E350" s="15" t="n">
        <v>0</v>
      </c>
      <c r="F350">
        <f>C350+E350</f>
        <v/>
      </c>
      <c r="G350" t="n">
        <v>2.609834948696971</v>
      </c>
      <c r="H350" t="n">
        <v>612</v>
      </c>
      <c r="I350">
        <f>IF(H350=0,0,G350/H350)</f>
        <v/>
      </c>
      <c r="J350" t="n">
        <v>1</v>
      </c>
      <c r="K350" t="n">
        <v>4</v>
      </c>
      <c r="L350" t="n">
        <v>1</v>
      </c>
      <c r="M350" t="n">
        <v>101.6193210824221</v>
      </c>
      <c r="N350">
        <f>D350/2</f>
        <v/>
      </c>
      <c r="O350">
        <f>N350+E350</f>
        <v/>
      </c>
      <c r="P350">
        <f>I350&lt;0.05</f>
        <v/>
      </c>
    </row>
    <row r="351">
      <c r="A351" t="inlineStr">
        <is>
          <t>FOODS_3_330</t>
        </is>
      </c>
      <c r="B351" t="n">
        <v>2.608536915619936</v>
      </c>
      <c r="C351" t="n">
        <v>18.25975840933955</v>
      </c>
      <c r="D351" t="n">
        <v>19</v>
      </c>
      <c r="E351" s="15" t="n">
        <v>9</v>
      </c>
      <c r="F351">
        <f>C351+E351</f>
        <v/>
      </c>
      <c r="G351" t="n">
        <v>2.740241590660446</v>
      </c>
      <c r="H351" t="n">
        <v>74</v>
      </c>
      <c r="I351">
        <f>IF(H351=0,0,G351/H351)</f>
        <v/>
      </c>
      <c r="J351" t="n">
        <v>1</v>
      </c>
      <c r="K351" t="n">
        <v>4</v>
      </c>
      <c r="L351" t="n">
        <v>1</v>
      </c>
      <c r="M351" t="n">
        <v>20.88406138010103</v>
      </c>
      <c r="N351">
        <f>D351/2</f>
        <v/>
      </c>
      <c r="O351">
        <f>N351+E351</f>
        <v/>
      </c>
      <c r="P351">
        <f>I351&lt;0.05</f>
        <v/>
      </c>
    </row>
    <row r="352">
      <c r="A352" t="inlineStr">
        <is>
          <t>FOODS_3_331</t>
        </is>
      </c>
      <c r="B352" t="n">
        <v>1.67847335171987</v>
      </c>
      <c r="C352" t="n">
        <v>11.74931346203909</v>
      </c>
      <c r="D352" t="n">
        <v>12</v>
      </c>
      <c r="E352" s="15" t="n">
        <v>2</v>
      </c>
      <c r="F352">
        <f>C352+E352</f>
        <v/>
      </c>
      <c r="G352" t="n">
        <v>2.25068653796091</v>
      </c>
      <c r="H352" t="n">
        <v>49</v>
      </c>
      <c r="I352">
        <f>IF(H352=0,0,G352/H352)</f>
        <v/>
      </c>
      <c r="J352" t="n">
        <v>2</v>
      </c>
      <c r="K352" t="n">
        <v>4</v>
      </c>
      <c r="L352" t="n">
        <v>1</v>
      </c>
      <c r="M352" t="n">
        <v>9.446085302448113</v>
      </c>
      <c r="N352">
        <f>D352/2</f>
        <v/>
      </c>
      <c r="O352">
        <f>N352+E352</f>
        <v/>
      </c>
      <c r="P352">
        <f>I352&lt;0.05</f>
        <v/>
      </c>
    </row>
    <row r="353">
      <c r="A353" t="inlineStr">
        <is>
          <t>FOODS_3_332</t>
        </is>
      </c>
      <c r="B353" t="n">
        <v>2.612763908532959</v>
      </c>
      <c r="C353" t="n">
        <v>18.28934735973071</v>
      </c>
      <c r="D353" t="n">
        <v>19</v>
      </c>
      <c r="E353" s="15" t="n">
        <v>0</v>
      </c>
      <c r="F353">
        <f>C353+E353</f>
        <v/>
      </c>
      <c r="G353" t="n">
        <v>0</v>
      </c>
      <c r="H353" t="n">
        <v>62</v>
      </c>
      <c r="I353">
        <f>IF(H353=0,0,G353/H353)</f>
        <v/>
      </c>
      <c r="J353" t="n">
        <v>0</v>
      </c>
      <c r="K353" t="n">
        <v>4</v>
      </c>
      <c r="L353" t="n">
        <v>0</v>
      </c>
      <c r="M353" t="n">
        <v>12.2893473597307</v>
      </c>
      <c r="N353">
        <f>D353/2</f>
        <v/>
      </c>
      <c r="O353">
        <f>N353+E353</f>
        <v/>
      </c>
      <c r="P353">
        <f>I353&lt;0.05</f>
        <v/>
      </c>
    </row>
    <row r="354">
      <c r="A354" t="inlineStr">
        <is>
          <t>FOODS_3_333</t>
        </is>
      </c>
      <c r="B354" t="n">
        <v>3.208286986360446</v>
      </c>
      <c r="C354" t="n">
        <v>22.45800890452312</v>
      </c>
      <c r="D354" t="n">
        <v>23</v>
      </c>
      <c r="E354" s="15" t="n">
        <v>0</v>
      </c>
      <c r="F354">
        <f>C354+E354</f>
        <v/>
      </c>
      <c r="G354" t="n">
        <v>1.541991095476877</v>
      </c>
      <c r="H354" t="n">
        <v>56</v>
      </c>
      <c r="I354">
        <f>IF(H354=0,0,G354/H354)</f>
        <v/>
      </c>
      <c r="J354" t="n">
        <v>1</v>
      </c>
      <c r="K354" t="n">
        <v>3</v>
      </c>
      <c r="L354" t="n">
        <v>1</v>
      </c>
      <c r="M354" t="n">
        <v>18.20528762239781</v>
      </c>
      <c r="N354">
        <f>D354/2</f>
        <v/>
      </c>
      <c r="O354">
        <f>N354+E354</f>
        <v/>
      </c>
      <c r="P354">
        <f>I354&lt;0.05</f>
        <v/>
      </c>
    </row>
    <row r="355">
      <c r="A355" t="inlineStr">
        <is>
          <t>FOODS_3_335</t>
        </is>
      </c>
      <c r="B355" t="n">
        <v>1.890509487015012</v>
      </c>
      <c r="C355" t="n">
        <v>13.23356640910508</v>
      </c>
      <c r="D355" t="n">
        <v>14</v>
      </c>
      <c r="E355" s="15" t="n">
        <v>3</v>
      </c>
      <c r="F355">
        <f>C355+E355</f>
        <v/>
      </c>
      <c r="G355" t="n">
        <v>1.766433590894916</v>
      </c>
      <c r="H355" t="n">
        <v>54</v>
      </c>
      <c r="I355">
        <f>IF(H355=0,0,G355/H355)</f>
        <v/>
      </c>
      <c r="J355" t="n">
        <v>1</v>
      </c>
      <c r="K355" t="n">
        <v>4</v>
      </c>
      <c r="L355" t="n">
        <v>1</v>
      </c>
      <c r="M355" t="n">
        <v>9.469230750011141</v>
      </c>
      <c r="N355">
        <f>D355/2</f>
        <v/>
      </c>
      <c r="O355">
        <f>N355+E355</f>
        <v/>
      </c>
      <c r="P355">
        <f>I355&lt;0.05</f>
        <v/>
      </c>
    </row>
    <row r="356">
      <c r="A356" t="inlineStr">
        <is>
          <t>FOODS_3_336</t>
        </is>
      </c>
      <c r="B356" t="n">
        <v>1.060558003358924</v>
      </c>
      <c r="C356" t="n">
        <v>7.423906023512467</v>
      </c>
      <c r="D356" t="n">
        <v>8</v>
      </c>
      <c r="E356" s="15" t="n">
        <v>14</v>
      </c>
      <c r="F356">
        <f>C356+E356</f>
        <v/>
      </c>
      <c r="G356" t="n">
        <v>2.576093976487535</v>
      </c>
      <c r="H356" t="n">
        <v>58</v>
      </c>
      <c r="I356">
        <f>IF(H356=0,0,G356/H356)</f>
        <v/>
      </c>
      <c r="J356" t="n">
        <v>2</v>
      </c>
      <c r="K356" t="n">
        <v>5</v>
      </c>
      <c r="L356" t="n">
        <v>1</v>
      </c>
      <c r="M356" t="n">
        <v>11.89479337309775</v>
      </c>
      <c r="N356">
        <f>D356/2</f>
        <v/>
      </c>
      <c r="O356">
        <f>N356+E356</f>
        <v/>
      </c>
      <c r="P356">
        <f>I356&lt;0.05</f>
        <v/>
      </c>
    </row>
    <row r="357">
      <c r="A357" t="inlineStr">
        <is>
          <t>FOODS_3_339</t>
        </is>
      </c>
      <c r="B357" t="n">
        <v>5.790311676977095</v>
      </c>
      <c r="C357" t="n">
        <v>40.53218173883966</v>
      </c>
      <c r="D357" t="n">
        <v>41</v>
      </c>
      <c r="E357" s="15" t="n">
        <v>1</v>
      </c>
      <c r="F357">
        <f>C357+E357</f>
        <v/>
      </c>
      <c r="G357" t="n">
        <v>7.467818261160339</v>
      </c>
      <c r="H357" t="n">
        <v>185</v>
      </c>
      <c r="I357">
        <f>IF(H357=0,0,G357/H357)</f>
        <v/>
      </c>
      <c r="J357" t="n">
        <v>2</v>
      </c>
      <c r="K357" t="n">
        <v>5</v>
      </c>
      <c r="L357" t="n">
        <v>2</v>
      </c>
      <c r="M357" t="n">
        <v>19.22118180117993</v>
      </c>
      <c r="N357">
        <f>D357/2</f>
        <v/>
      </c>
      <c r="O357">
        <f>N357+E357</f>
        <v/>
      </c>
      <c r="P357">
        <f>I357&lt;0.05</f>
        <v/>
      </c>
    </row>
    <row r="358">
      <c r="A358" t="inlineStr">
        <is>
          <t>FOODS_3_342</t>
        </is>
      </c>
      <c r="B358" t="n">
        <v>7.90074035235687</v>
      </c>
      <c r="C358" t="n">
        <v>55.30518246649809</v>
      </c>
      <c r="D358" t="n">
        <v>56</v>
      </c>
      <c r="E358" s="15" t="n">
        <v>0</v>
      </c>
      <c r="F358">
        <f>C358+E358</f>
        <v/>
      </c>
      <c r="G358" t="n">
        <v>0</v>
      </c>
      <c r="H358" t="n">
        <v>165</v>
      </c>
      <c r="I358">
        <f>IF(H358=0,0,G358/H358)</f>
        <v/>
      </c>
      <c r="J358" t="n">
        <v>0</v>
      </c>
      <c r="K358" t="n">
        <v>3</v>
      </c>
      <c r="L358" t="n">
        <v>0</v>
      </c>
      <c r="M358" t="n">
        <v>40.30518246649808</v>
      </c>
      <c r="N358">
        <f>D358/2</f>
        <v/>
      </c>
      <c r="O358">
        <f>N358+E358</f>
        <v/>
      </c>
      <c r="P358">
        <f>I358&lt;0.05</f>
        <v/>
      </c>
    </row>
    <row r="359">
      <c r="A359" t="inlineStr">
        <is>
          <t>FOODS_3_344</t>
        </is>
      </c>
      <c r="B359" t="n">
        <v>2.383074032194173</v>
      </c>
      <c r="C359" t="n">
        <v>16.68151822535921</v>
      </c>
      <c r="D359" t="n">
        <v>17</v>
      </c>
      <c r="E359" s="15" t="n">
        <v>9</v>
      </c>
      <c r="F359">
        <f>C359+E359</f>
        <v/>
      </c>
      <c r="G359" t="n">
        <v>3.318481774640787</v>
      </c>
      <c r="H359" t="n">
        <v>80</v>
      </c>
      <c r="I359">
        <f>IF(H359=0,0,G359/H359)</f>
        <v/>
      </c>
      <c r="J359" t="n">
        <v>1</v>
      </c>
      <c r="K359" t="n">
        <v>5</v>
      </c>
      <c r="L359" t="n">
        <v>1</v>
      </c>
      <c r="M359" t="n">
        <v>14.60213346177392</v>
      </c>
      <c r="N359">
        <f>D359/2</f>
        <v/>
      </c>
      <c r="O359">
        <f>N359+E359</f>
        <v/>
      </c>
      <c r="P359">
        <f>I359&lt;0.05</f>
        <v/>
      </c>
    </row>
    <row r="360">
      <c r="A360" t="inlineStr">
        <is>
          <t>FOODS_3_346</t>
        </is>
      </c>
      <c r="B360" t="n">
        <v>2.189556447219396</v>
      </c>
      <c r="C360" t="n">
        <v>15.32689513053577</v>
      </c>
      <c r="D360" t="n">
        <v>16</v>
      </c>
      <c r="E360" s="15" t="n">
        <v>1</v>
      </c>
      <c r="F360">
        <f>C360+E360</f>
        <v/>
      </c>
      <c r="G360" t="n">
        <v>2.673104869464225</v>
      </c>
      <c r="H360" t="n">
        <v>72</v>
      </c>
      <c r="I360">
        <f>IF(H360=0,0,G360/H360)</f>
        <v/>
      </c>
      <c r="J360" t="n">
        <v>2</v>
      </c>
      <c r="K360" t="n">
        <v>5</v>
      </c>
      <c r="L360" t="n">
        <v>2</v>
      </c>
      <c r="M360" t="n">
        <v>6.498620385114809</v>
      </c>
      <c r="N360">
        <f>D360/2</f>
        <v/>
      </c>
      <c r="O360">
        <f>N360+E360</f>
        <v/>
      </c>
      <c r="P360">
        <f>I360&lt;0.05</f>
        <v/>
      </c>
    </row>
    <row r="361">
      <c r="A361" t="inlineStr">
        <is>
          <t>FOODS_3_347</t>
        </is>
      </c>
      <c r="B361" t="n">
        <v>2.096927430818749</v>
      </c>
      <c r="C361" t="n">
        <v>14.67849201573124</v>
      </c>
      <c r="D361" t="n">
        <v>15</v>
      </c>
      <c r="E361" s="15" t="n">
        <v>0</v>
      </c>
      <c r="F361">
        <f>C361+E361</f>
        <v/>
      </c>
      <c r="G361" t="n">
        <v>0</v>
      </c>
      <c r="H361" t="n">
        <v>53</v>
      </c>
      <c r="I361">
        <f>IF(H361=0,0,G361/H361)</f>
        <v/>
      </c>
      <c r="J361" t="n">
        <v>0</v>
      </c>
      <c r="K361" t="n">
        <v>4</v>
      </c>
      <c r="L361" t="n">
        <v>0</v>
      </c>
      <c r="M361" t="n">
        <v>10.64277773001696</v>
      </c>
      <c r="N361">
        <f>D361/2</f>
        <v/>
      </c>
      <c r="O361">
        <f>N361+E361</f>
        <v/>
      </c>
      <c r="P361">
        <f>I361&lt;0.05</f>
        <v/>
      </c>
    </row>
    <row r="362">
      <c r="A362" t="inlineStr">
        <is>
          <t>FOODS_3_348</t>
        </is>
      </c>
      <c r="B362" t="n">
        <v>10.67345857179865</v>
      </c>
      <c r="C362" t="n">
        <v>74.71421000259055</v>
      </c>
      <c r="D362" t="n">
        <v>75</v>
      </c>
      <c r="E362" s="15" t="n">
        <v>0</v>
      </c>
      <c r="F362">
        <f>C362+E362</f>
        <v/>
      </c>
      <c r="G362" t="n">
        <v>0</v>
      </c>
      <c r="H362" t="n">
        <v>242</v>
      </c>
      <c r="I362">
        <f>IF(H362=0,0,G362/H362)</f>
        <v/>
      </c>
      <c r="J362" t="n">
        <v>0</v>
      </c>
      <c r="K362" t="n">
        <v>4</v>
      </c>
      <c r="L362" t="n">
        <v>0</v>
      </c>
      <c r="M362" t="n">
        <v>53.42849571687627</v>
      </c>
      <c r="N362">
        <f>D362/2</f>
        <v/>
      </c>
      <c r="O362">
        <f>N362+E362</f>
        <v/>
      </c>
      <c r="P362">
        <f>I362&lt;0.05</f>
        <v/>
      </c>
    </row>
    <row r="363">
      <c r="A363" t="inlineStr">
        <is>
          <t>FOODS_3_349</t>
        </is>
      </c>
      <c r="B363" t="n">
        <v>10.65269592038135</v>
      </c>
      <c r="C363" t="n">
        <v>74.56887144266946</v>
      </c>
      <c r="D363" t="n">
        <v>75</v>
      </c>
      <c r="E363" s="15" t="n">
        <v>0</v>
      </c>
      <c r="F363">
        <f>C363+E363</f>
        <v/>
      </c>
      <c r="G363" t="n">
        <v>0</v>
      </c>
      <c r="H363" t="n">
        <v>268</v>
      </c>
      <c r="I363">
        <f>IF(H363=0,0,G363/H363)</f>
        <v/>
      </c>
      <c r="J363" t="n">
        <v>0</v>
      </c>
      <c r="K363" t="n">
        <v>4</v>
      </c>
      <c r="L363" t="n">
        <v>0</v>
      </c>
      <c r="M363" t="n">
        <v>45.9260142998123</v>
      </c>
      <c r="N363">
        <f>D363/2</f>
        <v/>
      </c>
      <c r="O363">
        <f>N363+E363</f>
        <v/>
      </c>
      <c r="P363">
        <f>I363&lt;0.05</f>
        <v/>
      </c>
    </row>
    <row r="364">
      <c r="A364" t="inlineStr">
        <is>
          <t>FOODS_3_351</t>
        </is>
      </c>
      <c r="B364" t="n">
        <v>7.884447291586481</v>
      </c>
      <c r="C364" t="n">
        <v>55.19113104110536</v>
      </c>
      <c r="D364" t="n">
        <v>56</v>
      </c>
      <c r="E364" s="15" t="n">
        <v>0</v>
      </c>
      <c r="F364">
        <f>C364+E364</f>
        <v/>
      </c>
      <c r="G364" t="n">
        <v>6.808868958894635</v>
      </c>
      <c r="H364" t="n">
        <v>178</v>
      </c>
      <c r="I364">
        <f>IF(H364=0,0,G364/H364)</f>
        <v/>
      </c>
      <c r="J364" t="n">
        <v>1</v>
      </c>
      <c r="K364" t="n">
        <v>4</v>
      </c>
      <c r="L364" t="n">
        <v>1</v>
      </c>
      <c r="M364" t="n">
        <v>36.44588226908463</v>
      </c>
      <c r="N364">
        <f>D364/2</f>
        <v/>
      </c>
      <c r="O364">
        <f>N364+E364</f>
        <v/>
      </c>
      <c r="P364">
        <f>I364&lt;0.05</f>
        <v/>
      </c>
    </row>
    <row r="365">
      <c r="A365" t="inlineStr">
        <is>
          <t>FOODS_3_354</t>
        </is>
      </c>
      <c r="B365" t="n">
        <v>2.746285371238877</v>
      </c>
      <c r="C365" t="n">
        <v>19.22399759867214</v>
      </c>
      <c r="D365" t="n">
        <v>20</v>
      </c>
      <c r="E365" s="15" t="n">
        <v>0</v>
      </c>
      <c r="F365">
        <f>C365+E365</f>
        <v/>
      </c>
      <c r="G365" t="n">
        <v>0</v>
      </c>
      <c r="H365" t="n">
        <v>52</v>
      </c>
      <c r="I365">
        <f>IF(H365=0,0,G365/H365)</f>
        <v/>
      </c>
      <c r="J365" t="n">
        <v>0</v>
      </c>
      <c r="K365" t="n">
        <v>3</v>
      </c>
      <c r="L365" t="n">
        <v>0</v>
      </c>
      <c r="M365" t="n">
        <v>15.36685474152929</v>
      </c>
      <c r="N365">
        <f>D365/2</f>
        <v/>
      </c>
      <c r="O365">
        <f>N365+E365</f>
        <v/>
      </c>
      <c r="P365">
        <f>I365&lt;0.05</f>
        <v/>
      </c>
    </row>
    <row r="366">
      <c r="A366" t="inlineStr">
        <is>
          <t>FOODS_3_355</t>
        </is>
      </c>
      <c r="B366" t="n">
        <v>3.187466309674672</v>
      </c>
      <c r="C366" t="n">
        <v>22.3122641677227</v>
      </c>
      <c r="D366" t="n">
        <v>23</v>
      </c>
      <c r="E366" s="15" t="n">
        <v>1</v>
      </c>
      <c r="F366">
        <f>C366+E366</f>
        <v/>
      </c>
      <c r="G366" t="n">
        <v>0</v>
      </c>
      <c r="H366" t="n">
        <v>89</v>
      </c>
      <c r="I366">
        <f>IF(H366=0,0,G366/H366)</f>
        <v/>
      </c>
      <c r="J366" t="n">
        <v>0</v>
      </c>
      <c r="K366" t="n">
        <v>4</v>
      </c>
      <c r="L366" t="n">
        <v>0</v>
      </c>
      <c r="M366" t="n">
        <v>12.13369273915127</v>
      </c>
      <c r="N366">
        <f>D366/2</f>
        <v/>
      </c>
      <c r="O366">
        <f>N366+E366</f>
        <v/>
      </c>
      <c r="P366">
        <f>I366&lt;0.05</f>
        <v/>
      </c>
    </row>
    <row r="367">
      <c r="A367" t="inlineStr">
        <is>
          <t>FOODS_3_356</t>
        </is>
      </c>
      <c r="B367" t="n">
        <v>2.134646607006505</v>
      </c>
      <c r="C367" t="n">
        <v>14.94252624904554</v>
      </c>
      <c r="D367" t="n">
        <v>15</v>
      </c>
      <c r="E367" s="15" t="n">
        <v>4</v>
      </c>
      <c r="F367">
        <f>C367+E367</f>
        <v/>
      </c>
      <c r="G367" t="n">
        <v>3.057473750954465</v>
      </c>
      <c r="H367" t="n">
        <v>73</v>
      </c>
      <c r="I367">
        <f>IF(H367=0,0,G367/H367)</f>
        <v/>
      </c>
      <c r="J367" t="n">
        <v>1</v>
      </c>
      <c r="K367" t="n">
        <v>5</v>
      </c>
      <c r="L367" t="n">
        <v>1</v>
      </c>
      <c r="M367" t="n">
        <v>11.03242852613804</v>
      </c>
      <c r="N367">
        <f>D367/2</f>
        <v/>
      </c>
      <c r="O367">
        <f>N367+E367</f>
        <v/>
      </c>
      <c r="P367">
        <f>I367&lt;0.05</f>
        <v/>
      </c>
    </row>
    <row r="368">
      <c r="A368" t="inlineStr">
        <is>
          <t>FOODS_3_361</t>
        </is>
      </c>
      <c r="B368" t="n">
        <v>1.910927751714747</v>
      </c>
      <c r="C368" t="n">
        <v>13.37649426200323</v>
      </c>
      <c r="D368" t="n">
        <v>14</v>
      </c>
      <c r="E368" s="15" t="n">
        <v>3</v>
      </c>
      <c r="F368">
        <f>C368+E368</f>
        <v/>
      </c>
      <c r="G368" t="n">
        <v>2.623505737996773</v>
      </c>
      <c r="H368" t="n">
        <v>59</v>
      </c>
      <c r="I368">
        <f>IF(H368=0,0,G368/H368)</f>
        <v/>
      </c>
      <c r="J368" t="n">
        <v>2</v>
      </c>
      <c r="K368" t="n">
        <v>5</v>
      </c>
      <c r="L368" t="n">
        <v>2</v>
      </c>
      <c r="M368" t="n">
        <v>9.259248770429263</v>
      </c>
      <c r="N368">
        <f>D368/2</f>
        <v/>
      </c>
      <c r="O368">
        <f>N368+E368</f>
        <v/>
      </c>
      <c r="P368">
        <f>I368&lt;0.05</f>
        <v/>
      </c>
    </row>
    <row r="369">
      <c r="A369" t="inlineStr">
        <is>
          <t>FOODS_3_362</t>
        </is>
      </c>
      <c r="B369" t="n">
        <v>33.12235279878656</v>
      </c>
      <c r="C369" t="n">
        <v>231.8564695915059</v>
      </c>
      <c r="D369" t="n">
        <v>232</v>
      </c>
      <c r="E369" s="15" t="n">
        <v>0</v>
      </c>
      <c r="F369">
        <f>C369+E369</f>
        <v/>
      </c>
      <c r="G369" t="n">
        <v>0</v>
      </c>
      <c r="H369" t="n">
        <v>313</v>
      </c>
      <c r="I369">
        <f>IF(H369=0,0,G369/H369)</f>
        <v/>
      </c>
      <c r="J369" t="n">
        <v>0</v>
      </c>
      <c r="K369" t="n">
        <v>2</v>
      </c>
      <c r="L369" t="n">
        <v>0</v>
      </c>
      <c r="M369" t="n">
        <v>272.2850410200772</v>
      </c>
      <c r="N369">
        <f>D369/2</f>
        <v/>
      </c>
      <c r="O369">
        <f>N369+E369</f>
        <v/>
      </c>
      <c r="P369">
        <f>I369&lt;0.05</f>
        <v/>
      </c>
    </row>
    <row r="370">
      <c r="A370" t="inlineStr">
        <is>
          <t>FOODS_3_363</t>
        </is>
      </c>
      <c r="B370" t="n">
        <v>5.388016418469552</v>
      </c>
      <c r="C370" t="n">
        <v>37.71611492928686</v>
      </c>
      <c r="D370" t="n">
        <v>38</v>
      </c>
      <c r="E370" s="15" t="n">
        <v>13</v>
      </c>
      <c r="F370">
        <f>C370+E370</f>
        <v/>
      </c>
      <c r="G370" t="n">
        <v>8.28388507071314</v>
      </c>
      <c r="H370" t="n">
        <v>182</v>
      </c>
      <c r="I370">
        <f>IF(H370=0,0,G370/H370)</f>
        <v/>
      </c>
      <c r="J370" t="n">
        <v>1</v>
      </c>
      <c r="K370" t="n">
        <v>5</v>
      </c>
      <c r="L370" t="n">
        <v>1</v>
      </c>
      <c r="M370" t="n">
        <v>23.79631034199004</v>
      </c>
      <c r="N370">
        <f>D370/2</f>
        <v/>
      </c>
      <c r="O370">
        <f>N370+E370</f>
        <v/>
      </c>
      <c r="P370">
        <f>I370&lt;0.05</f>
        <v/>
      </c>
    </row>
    <row r="371">
      <c r="A371" t="inlineStr">
        <is>
          <t>FOODS_3_367</t>
        </is>
      </c>
      <c r="B371" t="n">
        <v>3.958767450321955</v>
      </c>
      <c r="C371" t="n">
        <v>27.71137215225368</v>
      </c>
      <c r="D371" t="n">
        <v>28</v>
      </c>
      <c r="E371" s="15" t="n">
        <v>7</v>
      </c>
      <c r="F371">
        <f>C371+E371</f>
        <v/>
      </c>
      <c r="G371" t="n">
        <v>5.288627847746312</v>
      </c>
      <c r="H371" t="n">
        <v>124</v>
      </c>
      <c r="I371">
        <f>IF(H371=0,0,G371/H371)</f>
        <v/>
      </c>
      <c r="J371" t="n">
        <v>2</v>
      </c>
      <c r="K371" t="n">
        <v>5</v>
      </c>
      <c r="L371" t="n">
        <v>1</v>
      </c>
      <c r="M371" t="n">
        <v>20.37484556994987</v>
      </c>
      <c r="N371">
        <f>D371/2</f>
        <v/>
      </c>
      <c r="O371">
        <f>N371+E371</f>
        <v/>
      </c>
      <c r="P371">
        <f>I371&lt;0.05</f>
        <v/>
      </c>
    </row>
    <row r="372">
      <c r="A372" t="inlineStr">
        <is>
          <t>FOODS_3_369</t>
        </is>
      </c>
      <c r="B372" t="n">
        <v>3.520012356160659</v>
      </c>
      <c r="C372" t="n">
        <v>24.64008649312461</v>
      </c>
      <c r="D372" t="n">
        <v>25</v>
      </c>
      <c r="E372" s="15" t="n">
        <v>6</v>
      </c>
      <c r="F372">
        <f>C372+E372</f>
        <v/>
      </c>
      <c r="G372" t="n">
        <v>1.35991350687539</v>
      </c>
      <c r="H372" t="n">
        <v>123</v>
      </c>
      <c r="I372">
        <f>IF(H372=0,0,G372/H372)</f>
        <v/>
      </c>
      <c r="J372" t="n">
        <v>2</v>
      </c>
      <c r="K372" t="n">
        <v>5</v>
      </c>
      <c r="L372" t="n">
        <v>2</v>
      </c>
      <c r="M372" t="n">
        <v>13.9943042485267</v>
      </c>
      <c r="N372">
        <f>D372/2</f>
        <v/>
      </c>
      <c r="O372">
        <f>N372+E372</f>
        <v/>
      </c>
      <c r="P372">
        <f>I372&lt;0.05</f>
        <v/>
      </c>
    </row>
    <row r="373">
      <c r="A373" t="inlineStr">
        <is>
          <t>FOODS_3_370</t>
        </is>
      </c>
      <c r="B373" t="n">
        <v>7.99172146282441</v>
      </c>
      <c r="C373" t="n">
        <v>55.94205023977087</v>
      </c>
      <c r="D373" t="n">
        <v>56</v>
      </c>
      <c r="E373" s="15" t="n">
        <v>3</v>
      </c>
      <c r="F373">
        <f>C373+E373</f>
        <v/>
      </c>
      <c r="G373" t="n">
        <v>11.05794976022913</v>
      </c>
      <c r="H373" t="n">
        <v>272</v>
      </c>
      <c r="I373">
        <f>IF(H373=0,0,G373/H373)</f>
        <v/>
      </c>
      <c r="J373" t="n">
        <v>2</v>
      </c>
      <c r="K373" t="n">
        <v>5</v>
      </c>
      <c r="L373" t="n">
        <v>2</v>
      </c>
      <c r="M373" t="n">
        <v>23.95186790852233</v>
      </c>
      <c r="N373">
        <f>D373/2</f>
        <v/>
      </c>
      <c r="O373">
        <f>N373+E373</f>
        <v/>
      </c>
      <c r="P373">
        <f>I373&lt;0.05</f>
        <v/>
      </c>
    </row>
    <row r="374">
      <c r="A374" t="inlineStr">
        <is>
          <t>FOODS_3_372</t>
        </is>
      </c>
      <c r="B374" t="n">
        <v>7.344149956699013</v>
      </c>
      <c r="C374" t="n">
        <v>51.40904969689309</v>
      </c>
      <c r="D374" t="n">
        <v>52</v>
      </c>
      <c r="E374" s="15" t="n">
        <v>0</v>
      </c>
      <c r="F374">
        <f>C374+E374</f>
        <v/>
      </c>
      <c r="G374" t="n">
        <v>0</v>
      </c>
      <c r="H374" t="n">
        <v>164</v>
      </c>
      <c r="I374">
        <f>IF(H374=0,0,G374/H374)</f>
        <v/>
      </c>
      <c r="J374" t="n">
        <v>0</v>
      </c>
      <c r="K374" t="n">
        <v>4</v>
      </c>
      <c r="L374" t="n">
        <v>0</v>
      </c>
      <c r="M374" t="n">
        <v>36.48047826832168</v>
      </c>
      <c r="N374">
        <f>D374/2</f>
        <v/>
      </c>
      <c r="O374">
        <f>N374+E374</f>
        <v/>
      </c>
      <c r="P374">
        <f>I374&lt;0.05</f>
        <v/>
      </c>
    </row>
    <row r="375">
      <c r="A375" t="inlineStr">
        <is>
          <t>FOODS_3_376</t>
        </is>
      </c>
      <c r="B375" t="n">
        <v>6.315983591568162</v>
      </c>
      <c r="C375" t="n">
        <v>44.21188514097713</v>
      </c>
      <c r="D375" t="n">
        <v>45</v>
      </c>
      <c r="E375" s="15" t="n">
        <v>0</v>
      </c>
      <c r="F375">
        <f>C375+E375</f>
        <v/>
      </c>
      <c r="G375" t="n">
        <v>0</v>
      </c>
      <c r="H375" t="n">
        <v>112</v>
      </c>
      <c r="I375">
        <f>IF(H375=0,0,G375/H375)</f>
        <v/>
      </c>
      <c r="J375" t="n">
        <v>0</v>
      </c>
      <c r="K375" t="n">
        <v>3</v>
      </c>
      <c r="L375" t="n">
        <v>0</v>
      </c>
      <c r="M375" t="n">
        <v>39.92617085526281</v>
      </c>
      <c r="N375">
        <f>D375/2</f>
        <v/>
      </c>
      <c r="O375">
        <f>N375+E375</f>
        <v/>
      </c>
      <c r="P375">
        <f>I375&lt;0.05</f>
        <v/>
      </c>
    </row>
    <row r="376">
      <c r="A376" t="inlineStr">
        <is>
          <t>FOODS_3_377</t>
        </is>
      </c>
      <c r="B376" t="n">
        <v>10.36494764548355</v>
      </c>
      <c r="C376" t="n">
        <v>72.55463351838488</v>
      </c>
      <c r="D376" t="n">
        <v>73</v>
      </c>
      <c r="E376" s="15" t="n">
        <v>1</v>
      </c>
      <c r="F376">
        <f>C376+E376</f>
        <v/>
      </c>
      <c r="G376" t="n">
        <v>12.44536648161512</v>
      </c>
      <c r="H376" t="n">
        <v>327</v>
      </c>
      <c r="I376">
        <f>IF(H376=0,0,G376/H376)</f>
        <v/>
      </c>
      <c r="J376" t="n">
        <v>3</v>
      </c>
      <c r="K376" t="n">
        <v>5</v>
      </c>
      <c r="L376" t="n">
        <v>3</v>
      </c>
      <c r="M376" t="n">
        <v>32.36885003965391</v>
      </c>
      <c r="N376">
        <f>D376/2</f>
        <v/>
      </c>
      <c r="O376">
        <f>N376+E376</f>
        <v/>
      </c>
      <c r="P376">
        <f>I376&lt;0.05</f>
        <v/>
      </c>
    </row>
    <row r="377">
      <c r="A377" t="inlineStr">
        <is>
          <t>FOODS_3_378</t>
        </is>
      </c>
      <c r="B377" t="n">
        <v>1.807765517681347</v>
      </c>
      <c r="C377" t="n">
        <v>12.65435862376943</v>
      </c>
      <c r="D377" t="n">
        <v>13</v>
      </c>
      <c r="E377" s="15" t="n">
        <v>1</v>
      </c>
      <c r="F377">
        <f>C377+E377</f>
        <v/>
      </c>
      <c r="G377" t="n">
        <v>2.345641376230573</v>
      </c>
      <c r="H377" t="n">
        <v>53</v>
      </c>
      <c r="I377">
        <f>IF(H377=0,0,G377/H377)</f>
        <v/>
      </c>
      <c r="J377" t="n">
        <v>2</v>
      </c>
      <c r="K377" t="n">
        <v>4</v>
      </c>
      <c r="L377" t="n">
        <v>1</v>
      </c>
      <c r="M377" t="n">
        <v>8.509706897101683</v>
      </c>
      <c r="N377">
        <f>D377/2</f>
        <v/>
      </c>
      <c r="O377">
        <f>N377+E377</f>
        <v/>
      </c>
      <c r="P377">
        <f>I377&lt;0.05</f>
        <v/>
      </c>
    </row>
    <row r="378">
      <c r="A378" t="inlineStr">
        <is>
          <t>FOODS_3_381</t>
        </is>
      </c>
      <c r="B378" t="n">
        <v>0.7557496121202806</v>
      </c>
      <c r="C378" t="n">
        <v>5.290247284841964</v>
      </c>
      <c r="D378" t="n">
        <v>6</v>
      </c>
      <c r="E378" s="15" t="n">
        <v>24</v>
      </c>
      <c r="F378">
        <f>C378+E378</f>
        <v/>
      </c>
      <c r="G378" t="n">
        <v>4.709752715158036</v>
      </c>
      <c r="H378" t="n">
        <v>104</v>
      </c>
      <c r="I378">
        <f>IF(H378=0,0,G378/H378)</f>
        <v/>
      </c>
      <c r="J378" t="n">
        <v>2</v>
      </c>
      <c r="K378" t="n">
        <v>16</v>
      </c>
      <c r="L378" t="n">
        <v>2</v>
      </c>
      <c r="M378" t="n">
        <v>9.70270312683447</v>
      </c>
      <c r="N378">
        <f>D378/2</f>
        <v/>
      </c>
      <c r="O378">
        <f>N378+E378</f>
        <v/>
      </c>
      <c r="P378">
        <f>I378&lt;0.05</f>
        <v/>
      </c>
    </row>
    <row r="379">
      <c r="A379" t="inlineStr">
        <is>
          <t>FOODS_3_382</t>
        </is>
      </c>
      <c r="B379" t="n">
        <v>10.23394095267065</v>
      </c>
      <c r="C379" t="n">
        <v>71.63758666869452</v>
      </c>
      <c r="D379" t="n">
        <v>72</v>
      </c>
      <c r="E379" s="15" t="n">
        <v>0</v>
      </c>
      <c r="F379">
        <f>C379+E379</f>
        <v/>
      </c>
      <c r="G379" t="n">
        <v>0</v>
      </c>
      <c r="H379" t="n">
        <v>50</v>
      </c>
      <c r="I379">
        <f>IF(H379=0,0,G379/H379)</f>
        <v/>
      </c>
      <c r="J379" t="n">
        <v>0</v>
      </c>
      <c r="K379" t="n">
        <v>1</v>
      </c>
      <c r="L379" t="n">
        <v>0</v>
      </c>
      <c r="M379" t="n">
        <v>94.63758666869448</v>
      </c>
      <c r="N379">
        <f>D379/2</f>
        <v/>
      </c>
      <c r="O379">
        <f>N379+E379</f>
        <v/>
      </c>
      <c r="P379">
        <f>I379&lt;0.05</f>
        <v/>
      </c>
    </row>
    <row r="380">
      <c r="A380" t="inlineStr">
        <is>
          <t>FOODS_3_385</t>
        </is>
      </c>
      <c r="B380" t="n">
        <v>2.043696254164554</v>
      </c>
      <c r="C380" t="n">
        <v>14.30587377915188</v>
      </c>
      <c r="D380" t="n">
        <v>15</v>
      </c>
      <c r="E380" s="15" t="n">
        <v>3</v>
      </c>
      <c r="F380">
        <f>C380+E380</f>
        <v/>
      </c>
      <c r="G380" t="n">
        <v>3.694126220848123</v>
      </c>
      <c r="H380" t="n">
        <v>74</v>
      </c>
      <c r="I380">
        <f>IF(H380=0,0,G380/H380)</f>
        <v/>
      </c>
      <c r="J380" t="n">
        <v>4</v>
      </c>
      <c r="K380" t="n">
        <v>5</v>
      </c>
      <c r="L380" t="n">
        <v>2</v>
      </c>
      <c r="M380" t="n">
        <v>8.447477460562835</v>
      </c>
      <c r="N380">
        <f>D380/2</f>
        <v/>
      </c>
      <c r="O380">
        <f>N380+E380</f>
        <v/>
      </c>
      <c r="P380">
        <f>I380&lt;0.05</f>
        <v/>
      </c>
    </row>
    <row r="381">
      <c r="A381" t="inlineStr">
        <is>
          <t>FOODS_3_386</t>
        </is>
      </c>
      <c r="B381" t="n">
        <v>3.358760310069592</v>
      </c>
      <c r="C381" t="n">
        <v>23.51132217048715</v>
      </c>
      <c r="D381" t="n">
        <v>24</v>
      </c>
      <c r="E381" s="15" t="n">
        <v>0</v>
      </c>
      <c r="F381">
        <f>C381+E381</f>
        <v/>
      </c>
      <c r="G381" t="n">
        <v>0</v>
      </c>
      <c r="H381" t="n">
        <v>67</v>
      </c>
      <c r="I381">
        <f>IF(H381=0,0,G381/H381)</f>
        <v/>
      </c>
      <c r="J381" t="n">
        <v>0</v>
      </c>
      <c r="K381" t="n">
        <v>3</v>
      </c>
      <c r="L381" t="n">
        <v>0</v>
      </c>
      <c r="M381" t="n">
        <v>19.11846502762999</v>
      </c>
      <c r="N381">
        <f>D381/2</f>
        <v/>
      </c>
      <c r="O381">
        <f>N381+E381</f>
        <v/>
      </c>
      <c r="P381">
        <f>I381&lt;0.05</f>
        <v/>
      </c>
    </row>
    <row r="382">
      <c r="A382" t="inlineStr">
        <is>
          <t>FOODS_3_389</t>
        </is>
      </c>
      <c r="B382" t="n">
        <v>16.31229934642415</v>
      </c>
      <c r="C382" t="n">
        <v>114.1860954249691</v>
      </c>
      <c r="D382" t="n">
        <v>115</v>
      </c>
      <c r="E382" s="15" t="n">
        <v>11</v>
      </c>
      <c r="F382">
        <f>C382+E382</f>
        <v/>
      </c>
      <c r="G382" t="n">
        <v>24.81390457503095</v>
      </c>
      <c r="H382" t="n">
        <v>503</v>
      </c>
      <c r="I382">
        <f>IF(H382=0,0,G382/H382)</f>
        <v/>
      </c>
      <c r="J382" t="n">
        <v>2</v>
      </c>
      <c r="K382" t="n">
        <v>5</v>
      </c>
      <c r="L382" t="n">
        <v>2</v>
      </c>
      <c r="M382" t="n">
        <v>62.50416330535051</v>
      </c>
      <c r="N382">
        <f>D382/2</f>
        <v/>
      </c>
      <c r="O382">
        <f>N382+E382</f>
        <v/>
      </c>
      <c r="P382">
        <f>I382&lt;0.05</f>
        <v/>
      </c>
    </row>
    <row r="383">
      <c r="A383" t="inlineStr">
        <is>
          <t>FOODS_3_393</t>
        </is>
      </c>
      <c r="B383" t="n">
        <v>6.908813897827386</v>
      </c>
      <c r="C383" t="n">
        <v>48.3616972847917</v>
      </c>
      <c r="D383" t="n">
        <v>49</v>
      </c>
      <c r="E383" s="15" t="n">
        <v>11</v>
      </c>
      <c r="F383">
        <f>C383+E383</f>
        <v/>
      </c>
      <c r="G383" t="n">
        <v>11.6383027152083</v>
      </c>
      <c r="H383" t="n">
        <v>242</v>
      </c>
      <c r="I383">
        <f>IF(H383=0,0,G383/H383)</f>
        <v/>
      </c>
      <c r="J383" t="n">
        <v>1</v>
      </c>
      <c r="K383" t="n">
        <v>5</v>
      </c>
      <c r="L383" t="n">
        <v>1</v>
      </c>
      <c r="M383" t="n">
        <v>30.71656292811014</v>
      </c>
      <c r="N383">
        <f>D383/2</f>
        <v/>
      </c>
      <c r="O383">
        <f>N383+E383</f>
        <v/>
      </c>
      <c r="P383">
        <f>I383&lt;0.05</f>
        <v/>
      </c>
    </row>
    <row r="384">
      <c r="A384" t="inlineStr">
        <is>
          <t>FOODS_3_398</t>
        </is>
      </c>
      <c r="B384" t="n">
        <v>1.89707144066895</v>
      </c>
      <c r="C384" t="n">
        <v>13.27950008468265</v>
      </c>
      <c r="D384" t="n">
        <v>14</v>
      </c>
      <c r="E384" s="15" t="n">
        <v>3</v>
      </c>
      <c r="F384">
        <f>C384+E384</f>
        <v/>
      </c>
      <c r="G384" t="n">
        <v>2.720499915317351</v>
      </c>
      <c r="H384" t="n">
        <v>57</v>
      </c>
      <c r="I384">
        <f>IF(H384=0,0,G384/H384)</f>
        <v/>
      </c>
      <c r="J384" t="n">
        <v>1</v>
      </c>
      <c r="K384" t="n">
        <v>4</v>
      </c>
      <c r="L384" t="n">
        <v>1</v>
      </c>
      <c r="M384" t="n">
        <v>10.20275001814628</v>
      </c>
      <c r="N384">
        <f>D384/2</f>
        <v/>
      </c>
      <c r="O384">
        <f>N384+E384</f>
        <v/>
      </c>
      <c r="P384">
        <f>I384&lt;0.05</f>
        <v/>
      </c>
    </row>
    <row r="385">
      <c r="A385" t="inlineStr">
        <is>
          <t>FOODS_3_399</t>
        </is>
      </c>
      <c r="B385" t="n">
        <v>4.349533584053076</v>
      </c>
      <c r="C385" t="n">
        <v>30.44673508837153</v>
      </c>
      <c r="D385" t="n">
        <v>31</v>
      </c>
      <c r="E385" s="15" t="n">
        <v>15</v>
      </c>
      <c r="F385">
        <f>C385+E385</f>
        <v/>
      </c>
      <c r="G385" t="n">
        <v>8.553264911628467</v>
      </c>
      <c r="H385" t="n">
        <v>174</v>
      </c>
      <c r="I385">
        <f>IF(H385=0,0,G385/H385)</f>
        <v/>
      </c>
      <c r="J385" t="n">
        <v>1</v>
      </c>
      <c r="K385" t="n">
        <v>6</v>
      </c>
      <c r="L385" t="n">
        <v>1</v>
      </c>
      <c r="M385" t="n">
        <v>27.95287180465104</v>
      </c>
      <c r="N385">
        <f>D385/2</f>
        <v/>
      </c>
      <c r="O385">
        <f>N385+E385</f>
        <v/>
      </c>
      <c r="P385">
        <f>I385&lt;0.05</f>
        <v/>
      </c>
    </row>
    <row r="386">
      <c r="A386" t="inlineStr">
        <is>
          <t>FOODS_3_403</t>
        </is>
      </c>
      <c r="B386" t="n">
        <v>14.27392401123929</v>
      </c>
      <c r="C386" t="n">
        <v>99.91746807867503</v>
      </c>
      <c r="D386" t="n">
        <v>100</v>
      </c>
      <c r="E386" s="15" t="n">
        <v>0</v>
      </c>
      <c r="F386">
        <f>C386+E386</f>
        <v/>
      </c>
      <c r="G386" t="n">
        <v>0</v>
      </c>
      <c r="H386" t="n">
        <v>337</v>
      </c>
      <c r="I386">
        <f>IF(H386=0,0,G386/H386)</f>
        <v/>
      </c>
      <c r="J386" t="n">
        <v>0</v>
      </c>
      <c r="K386" t="n">
        <v>4</v>
      </c>
      <c r="L386" t="n">
        <v>0</v>
      </c>
      <c r="M386" t="n">
        <v>67.13175379296074</v>
      </c>
      <c r="N386">
        <f>D386/2</f>
        <v/>
      </c>
      <c r="O386">
        <f>N386+E386</f>
        <v/>
      </c>
      <c r="P386">
        <f>I386&lt;0.05</f>
        <v/>
      </c>
    </row>
    <row r="387">
      <c r="A387" t="inlineStr">
        <is>
          <t>FOODS_3_406</t>
        </is>
      </c>
      <c r="B387" t="n">
        <v>13.61748841083477</v>
      </c>
      <c r="C387" t="n">
        <v>95.32241887584341</v>
      </c>
      <c r="D387" t="n">
        <v>96</v>
      </c>
      <c r="E387" s="15" t="n">
        <v>0</v>
      </c>
      <c r="F387">
        <f>C387+E387</f>
        <v/>
      </c>
      <c r="G387" t="n">
        <v>0</v>
      </c>
      <c r="H387" t="n">
        <v>364</v>
      </c>
      <c r="I387">
        <f>IF(H387=0,0,G387/H387)</f>
        <v/>
      </c>
      <c r="J387" t="n">
        <v>0</v>
      </c>
      <c r="K387" t="n">
        <v>4</v>
      </c>
      <c r="L387" t="n">
        <v>0</v>
      </c>
      <c r="M387" t="n">
        <v>51.75099030441481</v>
      </c>
      <c r="N387">
        <f>D387/2</f>
        <v/>
      </c>
      <c r="O387">
        <f>N387+E387</f>
        <v/>
      </c>
      <c r="P387">
        <f>I387&lt;0.05</f>
        <v/>
      </c>
    </row>
    <row r="388">
      <c r="A388" t="inlineStr">
        <is>
          <t>FOODS_3_407</t>
        </is>
      </c>
      <c r="B388" t="n">
        <v>3.706337631869533</v>
      </c>
      <c r="C388" t="n">
        <v>25.94436342308673</v>
      </c>
      <c r="D388" t="n">
        <v>26</v>
      </c>
      <c r="E388" s="15" t="n">
        <v>0</v>
      </c>
      <c r="F388">
        <f>C388+E388</f>
        <v/>
      </c>
      <c r="G388" t="n">
        <v>0.05563657691327251</v>
      </c>
      <c r="H388" t="n">
        <v>96</v>
      </c>
      <c r="I388">
        <f>IF(H388=0,0,G388/H388)</f>
        <v/>
      </c>
      <c r="J388" t="n">
        <v>1</v>
      </c>
      <c r="K388" t="n">
        <v>4</v>
      </c>
      <c r="L388" t="n">
        <v>1</v>
      </c>
      <c r="M388" t="n">
        <v>15.59914268956814</v>
      </c>
      <c r="N388">
        <f>D388/2</f>
        <v/>
      </c>
      <c r="O388">
        <f>N388+E388</f>
        <v/>
      </c>
      <c r="P388">
        <f>I388&lt;0.05</f>
        <v/>
      </c>
    </row>
    <row r="389">
      <c r="A389" t="inlineStr">
        <is>
          <t>FOODS_3_412</t>
        </is>
      </c>
      <c r="B389" t="n">
        <v>7.104919377290055</v>
      </c>
      <c r="C389" t="n">
        <v>49.73443564103039</v>
      </c>
      <c r="D389" t="n">
        <v>50</v>
      </c>
      <c r="E389" s="15" t="n">
        <v>0</v>
      </c>
      <c r="F389">
        <f>C389+E389</f>
        <v/>
      </c>
      <c r="G389" t="n">
        <v>0</v>
      </c>
      <c r="H389" t="n">
        <v>161</v>
      </c>
      <c r="I389">
        <f>IF(H389=0,0,G389/H389)</f>
        <v/>
      </c>
      <c r="J389" t="n">
        <v>0</v>
      </c>
      <c r="K389" t="n">
        <v>4</v>
      </c>
      <c r="L389" t="n">
        <v>0</v>
      </c>
      <c r="M389" t="n">
        <v>35.87729278388751</v>
      </c>
      <c r="N389">
        <f>D389/2</f>
        <v/>
      </c>
      <c r="O389">
        <f>N389+E389</f>
        <v/>
      </c>
      <c r="P389">
        <f>I389&lt;0.05</f>
        <v/>
      </c>
    </row>
    <row r="390">
      <c r="A390" t="inlineStr">
        <is>
          <t>FOODS_3_413</t>
        </is>
      </c>
      <c r="B390" t="n">
        <v>6.299857037256101</v>
      </c>
      <c r="C390" t="n">
        <v>44.0989992607927</v>
      </c>
      <c r="D390" t="n">
        <v>45</v>
      </c>
      <c r="E390" s="15" t="n">
        <v>0</v>
      </c>
      <c r="F390">
        <f>C390+E390</f>
        <v/>
      </c>
      <c r="G390" t="n">
        <v>0</v>
      </c>
      <c r="H390" t="n">
        <v>153</v>
      </c>
      <c r="I390">
        <f>IF(H390=0,0,G390/H390)</f>
        <v/>
      </c>
      <c r="J390" t="n">
        <v>0</v>
      </c>
      <c r="K390" t="n">
        <v>4</v>
      </c>
      <c r="L390" t="n">
        <v>0</v>
      </c>
      <c r="M390" t="n">
        <v>27.49185640364984</v>
      </c>
      <c r="N390">
        <f>D390/2</f>
        <v/>
      </c>
      <c r="O390">
        <f>N390+E390</f>
        <v/>
      </c>
      <c r="P390">
        <f>I390&lt;0.05</f>
        <v/>
      </c>
    </row>
    <row r="391">
      <c r="A391" t="inlineStr">
        <is>
          <t>FOODS_3_418</t>
        </is>
      </c>
      <c r="B391" t="n">
        <v>2.572652140645545</v>
      </c>
      <c r="C391" t="n">
        <v>18.00856498451881</v>
      </c>
      <c r="D391" t="n">
        <v>19</v>
      </c>
      <c r="E391" s="15" t="n">
        <v>0</v>
      </c>
      <c r="F391">
        <f>C391+E391</f>
        <v/>
      </c>
      <c r="G391" t="n">
        <v>2.991435015481187</v>
      </c>
      <c r="H391" t="n">
        <v>65</v>
      </c>
      <c r="I391">
        <f>IF(H391=0,0,G391/H391)</f>
        <v/>
      </c>
      <c r="J391" t="n">
        <v>1</v>
      </c>
      <c r="K391" t="n">
        <v>4</v>
      </c>
      <c r="L391" t="n">
        <v>1</v>
      </c>
      <c r="M391" t="n">
        <v>12.11111945709802</v>
      </c>
      <c r="N391">
        <f>D391/2</f>
        <v/>
      </c>
      <c r="O391">
        <f>N391+E391</f>
        <v/>
      </c>
      <c r="P391">
        <f>I391&lt;0.05</f>
        <v/>
      </c>
    </row>
    <row r="392">
      <c r="A392" t="inlineStr">
        <is>
          <t>FOODS_3_422</t>
        </is>
      </c>
      <c r="B392" t="n">
        <v>2.326015716051404</v>
      </c>
      <c r="C392" t="n">
        <v>16.28211001235983</v>
      </c>
      <c r="D392" t="n">
        <v>17</v>
      </c>
      <c r="E392" s="15" t="n">
        <v>7</v>
      </c>
      <c r="F392">
        <f>C392+E392</f>
        <v/>
      </c>
      <c r="G392" t="n">
        <v>2.717889987640174</v>
      </c>
      <c r="H392" t="n">
        <v>68</v>
      </c>
      <c r="I392">
        <f>IF(H392=0,0,G392/H392)</f>
        <v/>
      </c>
      <c r="J392" t="n">
        <v>1</v>
      </c>
      <c r="K392" t="n">
        <v>4</v>
      </c>
      <c r="L392" t="n">
        <v>1</v>
      </c>
      <c r="M392" t="n">
        <v>14.79398750662133</v>
      </c>
      <c r="N392">
        <f>D392/2</f>
        <v/>
      </c>
      <c r="O392">
        <f>N392+E392</f>
        <v/>
      </c>
      <c r="P392">
        <f>I392&lt;0.05</f>
        <v/>
      </c>
    </row>
    <row r="393">
      <c r="A393" t="inlineStr">
        <is>
          <t>FOODS_3_423</t>
        </is>
      </c>
      <c r="B393" t="n">
        <v>2.830193453461076</v>
      </c>
      <c r="C393" t="n">
        <v>19.81135417422753</v>
      </c>
      <c r="D393" t="n">
        <v>20</v>
      </c>
      <c r="E393" s="15" t="n">
        <v>1</v>
      </c>
      <c r="F393">
        <f>C393+E393</f>
        <v/>
      </c>
      <c r="G393" t="n">
        <v>4.188645825772468</v>
      </c>
      <c r="H393" t="n">
        <v>89</v>
      </c>
      <c r="I393">
        <f>IF(H393=0,0,G393/H393)</f>
        <v/>
      </c>
      <c r="J393" t="n">
        <v>2</v>
      </c>
      <c r="K393" t="n">
        <v>5</v>
      </c>
      <c r="L393" t="n">
        <v>2</v>
      </c>
      <c r="M393" t="n">
        <v>9.888147323048758</v>
      </c>
      <c r="N393">
        <f>D393/2</f>
        <v/>
      </c>
      <c r="O393">
        <f>N393+E393</f>
        <v/>
      </c>
      <c r="P393">
        <f>I393&lt;0.05</f>
        <v/>
      </c>
    </row>
    <row r="394">
      <c r="A394" t="inlineStr">
        <is>
          <t>FOODS_3_431</t>
        </is>
      </c>
      <c r="B394" t="n">
        <v>3.267121504505433</v>
      </c>
      <c r="C394" t="n">
        <v>22.86985053153803</v>
      </c>
      <c r="D394" t="n">
        <v>23</v>
      </c>
      <c r="E394" s="15" t="n">
        <v>0</v>
      </c>
      <c r="F394">
        <f>C394+E394</f>
        <v/>
      </c>
      <c r="G394" t="n">
        <v>0</v>
      </c>
      <c r="H394" t="n">
        <v>71</v>
      </c>
      <c r="I394">
        <f>IF(H394=0,0,G394/H394)</f>
        <v/>
      </c>
      <c r="J394" t="n">
        <v>0</v>
      </c>
      <c r="K394" t="n">
        <v>4</v>
      </c>
      <c r="L394" t="n">
        <v>0</v>
      </c>
      <c r="M394" t="n">
        <v>14.65556481725231</v>
      </c>
      <c r="N394">
        <f>D394/2</f>
        <v/>
      </c>
      <c r="O394">
        <f>N394+E394</f>
        <v/>
      </c>
      <c r="P394">
        <f>I394&lt;0.05</f>
        <v/>
      </c>
    </row>
    <row r="395">
      <c r="A395" t="inlineStr">
        <is>
          <t>FOODS_3_433</t>
        </is>
      </c>
      <c r="B395" t="n">
        <v>2.652641774850289</v>
      </c>
      <c r="C395" t="n">
        <v>18.56849242395203</v>
      </c>
      <c r="D395" t="n">
        <v>19</v>
      </c>
      <c r="E395" s="15" t="n">
        <v>1</v>
      </c>
      <c r="F395">
        <f>C395+E395</f>
        <v/>
      </c>
      <c r="G395" t="n">
        <v>2.431507576047974</v>
      </c>
      <c r="H395" t="n">
        <v>78</v>
      </c>
      <c r="I395">
        <f>IF(H395=0,0,G395/H395)</f>
        <v/>
      </c>
      <c r="J395" t="n">
        <v>2</v>
      </c>
      <c r="K395" t="n">
        <v>4</v>
      </c>
      <c r="L395" t="n">
        <v>2</v>
      </c>
      <c r="M395" t="n">
        <v>10.10567478340458</v>
      </c>
      <c r="N395">
        <f>D395/2</f>
        <v/>
      </c>
      <c r="O395">
        <f>N395+E395</f>
        <v/>
      </c>
      <c r="P395">
        <f>I395&lt;0.05</f>
        <v/>
      </c>
    </row>
    <row r="396">
      <c r="A396" t="inlineStr">
        <is>
          <t>FOODS_3_435</t>
        </is>
      </c>
      <c r="B396" t="n">
        <v>3.699039875182088</v>
      </c>
      <c r="C396" t="n">
        <v>25.89327912627462</v>
      </c>
      <c r="D396" t="n">
        <v>26</v>
      </c>
      <c r="E396" s="15" t="n">
        <v>2</v>
      </c>
      <c r="F396">
        <f>C396+E396</f>
        <v/>
      </c>
      <c r="G396" t="n">
        <v>5.106720873725383</v>
      </c>
      <c r="H396" t="n">
        <v>118</v>
      </c>
      <c r="I396">
        <f>IF(H396=0,0,G396/H396)</f>
        <v/>
      </c>
      <c r="J396" t="n">
        <v>2</v>
      </c>
      <c r="K396" t="n">
        <v>5</v>
      </c>
      <c r="L396" t="n">
        <v>2</v>
      </c>
      <c r="M396" t="n">
        <v>13.62902245148464</v>
      </c>
      <c r="N396">
        <f>D396/2</f>
        <v/>
      </c>
      <c r="O396">
        <f>N396+E396</f>
        <v/>
      </c>
      <c r="P396">
        <f>I396&lt;0.05</f>
        <v/>
      </c>
    </row>
    <row r="397">
      <c r="A397" t="inlineStr">
        <is>
          <t>FOODS_3_436</t>
        </is>
      </c>
      <c r="B397" t="n">
        <v>2.91032036182186</v>
      </c>
      <c r="C397" t="n">
        <v>20.37224253275302</v>
      </c>
      <c r="D397" t="n">
        <v>21</v>
      </c>
      <c r="E397" s="15" t="n">
        <v>16</v>
      </c>
      <c r="F397">
        <f>C397+E397</f>
        <v/>
      </c>
      <c r="G397" t="n">
        <v>5.62775746724698</v>
      </c>
      <c r="H397" t="n">
        <v>122</v>
      </c>
      <c r="I397">
        <f>IF(H397=0,0,G397/H397)</f>
        <v/>
      </c>
      <c r="J397" t="n">
        <v>2</v>
      </c>
      <c r="K397" t="n">
        <v>6</v>
      </c>
      <c r="L397" t="n">
        <v>1</v>
      </c>
      <c r="M397" t="n">
        <v>20.2093290237059</v>
      </c>
      <c r="N397">
        <f>D397/2</f>
        <v/>
      </c>
      <c r="O397">
        <f>N397+E397</f>
        <v/>
      </c>
      <c r="P397">
        <f>I397&lt;0.05</f>
        <v/>
      </c>
    </row>
    <row r="398">
      <c r="A398" t="inlineStr">
        <is>
          <t>FOODS_3_438</t>
        </is>
      </c>
      <c r="B398" t="n">
        <v>2.571349049498594</v>
      </c>
      <c r="C398" t="n">
        <v>17.99944334649016</v>
      </c>
      <c r="D398" t="n">
        <v>18</v>
      </c>
      <c r="E398" s="15" t="n">
        <v>1</v>
      </c>
      <c r="F398">
        <f>C398+E398</f>
        <v/>
      </c>
      <c r="G398" t="n">
        <v>3.00055665350984</v>
      </c>
      <c r="H398" t="n">
        <v>76</v>
      </c>
      <c r="I398">
        <f>IF(H398=0,0,G398/H398)</f>
        <v/>
      </c>
      <c r="J398" t="n">
        <v>1</v>
      </c>
      <c r="K398" t="n">
        <v>5</v>
      </c>
      <c r="L398" t="n">
        <v>1</v>
      </c>
      <c r="M398" t="n">
        <v>10.64259869658471</v>
      </c>
      <c r="N398">
        <f>D398/2</f>
        <v/>
      </c>
      <c r="O398">
        <f>N398+E398</f>
        <v/>
      </c>
      <c r="P398">
        <f>I398&lt;0.05</f>
        <v/>
      </c>
    </row>
    <row r="399">
      <c r="A399" t="inlineStr">
        <is>
          <t>FOODS_3_439</t>
        </is>
      </c>
      <c r="B399" t="n">
        <v>4.022092859738161</v>
      </c>
      <c r="C399" t="n">
        <v>28.15465001816713</v>
      </c>
      <c r="D399" t="n">
        <v>29</v>
      </c>
      <c r="E399" s="15" t="n">
        <v>0</v>
      </c>
      <c r="F399">
        <f>C399+E399</f>
        <v/>
      </c>
      <c r="G399" t="n">
        <v>3.845349981832868</v>
      </c>
      <c r="H399" t="n">
        <v>92</v>
      </c>
      <c r="I399">
        <f>IF(H399=0,0,G399/H399)</f>
        <v/>
      </c>
      <c r="J399" t="n">
        <v>2</v>
      </c>
      <c r="K399" t="n">
        <v>4</v>
      </c>
      <c r="L399" t="n">
        <v>1</v>
      </c>
      <c r="M399" t="n">
        <v>19.09389465388718</v>
      </c>
      <c r="N399">
        <f>D399/2</f>
        <v/>
      </c>
      <c r="O399">
        <f>N399+E399</f>
        <v/>
      </c>
      <c r="P399">
        <f>I399&lt;0.05</f>
        <v/>
      </c>
    </row>
    <row r="400">
      <c r="A400" t="inlineStr">
        <is>
          <t>FOODS_3_440</t>
        </is>
      </c>
      <c r="B400" t="n">
        <v>1.724059935042882</v>
      </c>
      <c r="C400" t="n">
        <v>12.06841954530018</v>
      </c>
      <c r="D400" t="n">
        <v>13</v>
      </c>
      <c r="E400" s="15" t="n">
        <v>3</v>
      </c>
      <c r="F400">
        <f>C400+E400</f>
        <v/>
      </c>
      <c r="G400" t="n">
        <v>1.931580454699827</v>
      </c>
      <c r="H400" t="n">
        <v>54</v>
      </c>
      <c r="I400">
        <f>IF(H400=0,0,G400/H400)</f>
        <v/>
      </c>
      <c r="J400" t="n">
        <v>1</v>
      </c>
      <c r="K400" t="n">
        <v>5</v>
      </c>
      <c r="L400" t="n">
        <v>1</v>
      </c>
      <c r="M400" t="n">
        <v>10.03420977265009</v>
      </c>
      <c r="N400">
        <f>D400/2</f>
        <v/>
      </c>
      <c r="O400">
        <f>N400+E400</f>
        <v/>
      </c>
      <c r="P400">
        <f>I400&lt;0.05</f>
        <v/>
      </c>
    </row>
    <row r="401">
      <c r="A401" t="inlineStr">
        <is>
          <t>FOODS_3_444</t>
        </is>
      </c>
      <c r="B401" t="n">
        <v>0.6395597894476662</v>
      </c>
      <c r="C401" t="n">
        <v>4.476918526133663</v>
      </c>
      <c r="D401" t="n">
        <v>5</v>
      </c>
      <c r="E401" s="15" t="n">
        <v>96</v>
      </c>
      <c r="F401">
        <f>C401+E401</f>
        <v/>
      </c>
      <c r="G401" t="n">
        <v>10.52308147386634</v>
      </c>
      <c r="H401" t="n">
        <v>281</v>
      </c>
      <c r="I401">
        <f>IF(H401=0,0,G401/H401)</f>
        <v/>
      </c>
      <c r="J401" t="n">
        <v>3</v>
      </c>
      <c r="K401" t="n">
        <v>20</v>
      </c>
      <c r="L401" t="n">
        <v>3</v>
      </c>
      <c r="M401" t="n">
        <v>49.19944762394307</v>
      </c>
      <c r="N401">
        <f>D401/2</f>
        <v/>
      </c>
      <c r="O401">
        <f>N401+E401</f>
        <v/>
      </c>
      <c r="P401">
        <f>I401&lt;0.05</f>
        <v/>
      </c>
    </row>
    <row r="402">
      <c r="A402" t="inlineStr">
        <is>
          <t>FOODS_3_446</t>
        </is>
      </c>
      <c r="B402" t="n">
        <v>5.151253587194504</v>
      </c>
      <c r="C402" t="n">
        <v>36.05877511036153</v>
      </c>
      <c r="D402" t="n">
        <v>37</v>
      </c>
      <c r="E402" s="15" t="n">
        <v>2</v>
      </c>
      <c r="F402">
        <f>C402+E402</f>
        <v/>
      </c>
      <c r="G402" t="n">
        <v>6.94122488963847</v>
      </c>
      <c r="H402" t="n">
        <v>149</v>
      </c>
      <c r="I402">
        <f>IF(H402=0,0,G402/H402)</f>
        <v/>
      </c>
      <c r="J402" t="n">
        <v>3</v>
      </c>
      <c r="K402" t="n">
        <v>4</v>
      </c>
      <c r="L402" t="n">
        <v>2</v>
      </c>
      <c r="M402" t="n">
        <v>22.74577238055082</v>
      </c>
      <c r="N402">
        <f>D402/2</f>
        <v/>
      </c>
      <c r="O402">
        <f>N402+E402</f>
        <v/>
      </c>
      <c r="P402">
        <f>I402&lt;0.05</f>
        <v/>
      </c>
    </row>
    <row r="403">
      <c r="A403" t="inlineStr">
        <is>
          <t>FOODS_3_448</t>
        </is>
      </c>
      <c r="B403" t="n">
        <v>0.8821984044734564</v>
      </c>
      <c r="C403" t="n">
        <v>6.175388831314195</v>
      </c>
      <c r="D403" t="n">
        <v>7</v>
      </c>
      <c r="E403" s="15" t="n">
        <v>24</v>
      </c>
      <c r="F403">
        <f>C403+E403</f>
        <v/>
      </c>
      <c r="G403" t="n">
        <v>2.824611168685806</v>
      </c>
      <c r="H403" t="n">
        <v>115</v>
      </c>
      <c r="I403">
        <f>IF(H403=0,0,G403/H403)</f>
        <v/>
      </c>
      <c r="J403" t="n">
        <v>2</v>
      </c>
      <c r="K403" t="n">
        <v>16</v>
      </c>
      <c r="L403" t="n">
        <v>1</v>
      </c>
      <c r="M403" t="n">
        <v>7.592089267208133</v>
      </c>
      <c r="N403">
        <f>D403/2</f>
        <v/>
      </c>
      <c r="O403">
        <f>N403+E403</f>
        <v/>
      </c>
      <c r="P403">
        <f>I403&lt;0.05</f>
        <v/>
      </c>
    </row>
    <row r="404">
      <c r="A404" t="inlineStr">
        <is>
          <t>FOODS_3_449</t>
        </is>
      </c>
      <c r="B404" t="n">
        <v>10.02642951657419</v>
      </c>
      <c r="C404" t="n">
        <v>70.18500661601935</v>
      </c>
      <c r="D404" t="n">
        <v>71</v>
      </c>
      <c r="E404" s="15" t="n">
        <v>0</v>
      </c>
      <c r="F404">
        <f>C404+E404</f>
        <v/>
      </c>
      <c r="G404" t="n">
        <v>0</v>
      </c>
      <c r="H404" t="n">
        <v>194</v>
      </c>
      <c r="I404">
        <f>IF(H404=0,0,G404/H404)</f>
        <v/>
      </c>
      <c r="J404" t="n">
        <v>0</v>
      </c>
      <c r="K404" t="n">
        <v>3</v>
      </c>
      <c r="L404" t="n">
        <v>0</v>
      </c>
      <c r="M404" t="n">
        <v>56.39929233030506</v>
      </c>
      <c r="N404">
        <f>D404/2</f>
        <v/>
      </c>
      <c r="O404">
        <f>N404+E404</f>
        <v/>
      </c>
      <c r="P404">
        <f>I404&lt;0.05</f>
        <v/>
      </c>
    </row>
    <row r="405">
      <c r="A405" t="inlineStr">
        <is>
          <t>FOODS_3_450</t>
        </is>
      </c>
      <c r="B405" t="n">
        <v>1.725397345580513</v>
      </c>
      <c r="C405" t="n">
        <v>12.07778141906359</v>
      </c>
      <c r="D405" t="n">
        <v>13</v>
      </c>
      <c r="E405" s="15" t="n">
        <v>1</v>
      </c>
      <c r="F405">
        <f>C405+E405</f>
        <v/>
      </c>
      <c r="G405" t="n">
        <v>1.922218580936407</v>
      </c>
      <c r="H405" t="n">
        <v>52</v>
      </c>
      <c r="I405">
        <f>IF(H405=0,0,G405/H405)</f>
        <v/>
      </c>
      <c r="J405" t="n">
        <v>2</v>
      </c>
      <c r="K405" t="n">
        <v>4</v>
      </c>
      <c r="L405" t="n">
        <v>1</v>
      </c>
      <c r="M405" t="n">
        <v>7.156746681975641</v>
      </c>
      <c r="N405">
        <f>D405/2</f>
        <v/>
      </c>
      <c r="O405">
        <f>N405+E405</f>
        <v/>
      </c>
      <c r="P405">
        <f>I405&lt;0.05</f>
        <v/>
      </c>
    </row>
    <row r="406">
      <c r="A406" t="inlineStr">
        <is>
          <t>FOODS_3_454</t>
        </is>
      </c>
      <c r="B406" t="n">
        <v>5.419564223869344</v>
      </c>
      <c r="C406" t="n">
        <v>37.93694956708541</v>
      </c>
      <c r="D406" t="n">
        <v>38</v>
      </c>
      <c r="E406" s="15" t="n">
        <v>16</v>
      </c>
      <c r="F406">
        <f>C406+E406</f>
        <v/>
      </c>
      <c r="G406" t="n">
        <v>8.063050432914594</v>
      </c>
      <c r="H406" t="n">
        <v>168</v>
      </c>
      <c r="I406">
        <f>IF(H406=0,0,G406/H406)</f>
        <v/>
      </c>
      <c r="J406" t="n">
        <v>2</v>
      </c>
      <c r="K406" t="n">
        <v>5</v>
      </c>
      <c r="L406" t="n">
        <v>1</v>
      </c>
      <c r="M406" t="n">
        <v>34.00869267160804</v>
      </c>
      <c r="N406">
        <f>D406/2</f>
        <v/>
      </c>
      <c r="O406">
        <f>N406+E406</f>
        <v/>
      </c>
      <c r="P406">
        <f>I406&lt;0.05</f>
        <v/>
      </c>
    </row>
    <row r="407">
      <c r="A407" t="inlineStr">
        <is>
          <t>FOODS_3_455</t>
        </is>
      </c>
      <c r="B407" t="n">
        <v>6.303755779677923</v>
      </c>
      <c r="C407" t="n">
        <v>44.12629045774546</v>
      </c>
      <c r="D407" t="n">
        <v>45</v>
      </c>
      <c r="E407" s="15" t="n">
        <v>15</v>
      </c>
      <c r="F407">
        <f>C407+E407</f>
        <v/>
      </c>
      <c r="G407" t="n">
        <v>12.87370954225454</v>
      </c>
      <c r="H407" t="n">
        <v>265</v>
      </c>
      <c r="I407">
        <f>IF(H407=0,0,G407/H407)</f>
        <v/>
      </c>
      <c r="J407" t="n">
        <v>2</v>
      </c>
      <c r="K407" t="n">
        <v>6</v>
      </c>
      <c r="L407" t="n">
        <v>1</v>
      </c>
      <c r="M407" t="n">
        <v>23.77328927188053</v>
      </c>
      <c r="N407">
        <f>D407/2</f>
        <v/>
      </c>
      <c r="O407">
        <f>N407+E407</f>
        <v/>
      </c>
      <c r="P407">
        <f>I407&lt;0.05</f>
        <v/>
      </c>
    </row>
    <row r="408">
      <c r="A408" t="inlineStr">
        <is>
          <t>FOODS_3_458</t>
        </is>
      </c>
      <c r="B408" t="n">
        <v>16.79779204908403</v>
      </c>
      <c r="C408" t="n">
        <v>117.5845443435882</v>
      </c>
      <c r="D408" t="n">
        <v>118</v>
      </c>
      <c r="E408" s="15" t="n">
        <v>0</v>
      </c>
      <c r="F408">
        <f>C408+E408</f>
        <v/>
      </c>
      <c r="G408" t="n">
        <v>0</v>
      </c>
      <c r="H408" t="n">
        <v>471</v>
      </c>
      <c r="I408">
        <f>IF(H408=0,0,G408/H408)</f>
        <v/>
      </c>
      <c r="J408" t="n">
        <v>0</v>
      </c>
      <c r="K408" t="n">
        <v>4</v>
      </c>
      <c r="L408" t="n">
        <v>0</v>
      </c>
      <c r="M408" t="n">
        <v>63.79883005787398</v>
      </c>
      <c r="N408">
        <f>D408/2</f>
        <v/>
      </c>
      <c r="O408">
        <f>N408+E408</f>
        <v/>
      </c>
      <c r="P408">
        <f>I408&lt;0.05</f>
        <v/>
      </c>
    </row>
    <row r="409">
      <c r="A409" t="inlineStr">
        <is>
          <t>FOODS_3_459</t>
        </is>
      </c>
      <c r="B409" t="n">
        <v>2.951473862506495</v>
      </c>
      <c r="C409" t="n">
        <v>20.66031703754546</v>
      </c>
      <c r="D409" t="n">
        <v>21</v>
      </c>
      <c r="E409" s="15" t="n">
        <v>1</v>
      </c>
      <c r="F409">
        <f>C409+E409</f>
        <v/>
      </c>
      <c r="G409" t="n">
        <v>3.339682962454535</v>
      </c>
      <c r="H409" t="n">
        <v>84</v>
      </c>
      <c r="I409">
        <f>IF(H409=0,0,G409/H409)</f>
        <v/>
      </c>
      <c r="J409" t="n">
        <v>1</v>
      </c>
      <c r="K409" t="n">
        <v>4</v>
      </c>
      <c r="L409" t="n">
        <v>1</v>
      </c>
      <c r="M409" t="n">
        <v>12.91167767235715</v>
      </c>
      <c r="N409">
        <f>D409/2</f>
        <v/>
      </c>
      <c r="O409">
        <f>N409+E409</f>
        <v/>
      </c>
      <c r="P409">
        <f>I409&lt;0.05</f>
        <v/>
      </c>
    </row>
    <row r="410">
      <c r="A410" t="inlineStr">
        <is>
          <t>FOODS_3_462</t>
        </is>
      </c>
      <c r="B410" t="n">
        <v>7.47634787713177</v>
      </c>
      <c r="C410" t="n">
        <v>52.33443513992239</v>
      </c>
      <c r="D410" t="n">
        <v>53</v>
      </c>
      <c r="E410" s="15" t="n">
        <v>0</v>
      </c>
      <c r="F410">
        <f>C410+E410</f>
        <v/>
      </c>
      <c r="G410" t="n">
        <v>0</v>
      </c>
      <c r="H410" t="n">
        <v>162</v>
      </c>
      <c r="I410">
        <f>IF(H410=0,0,G410/H410)</f>
        <v/>
      </c>
      <c r="J410" t="n">
        <v>0</v>
      </c>
      <c r="K410" t="n">
        <v>4</v>
      </c>
      <c r="L410" t="n">
        <v>0</v>
      </c>
      <c r="M410" t="n">
        <v>38.12014942563665</v>
      </c>
      <c r="N410">
        <f>D410/2</f>
        <v/>
      </c>
      <c r="O410">
        <f>N410+E410</f>
        <v/>
      </c>
      <c r="P410">
        <f>I410&lt;0.05</f>
        <v/>
      </c>
    </row>
    <row r="411">
      <c r="A411" t="inlineStr">
        <is>
          <t>FOODS_3_468</t>
        </is>
      </c>
      <c r="B411" t="n">
        <v>4.012735453962018</v>
      </c>
      <c r="C411" t="n">
        <v>28.08914817773413</v>
      </c>
      <c r="D411" t="n">
        <v>29</v>
      </c>
      <c r="E411" s="15" t="n">
        <v>3</v>
      </c>
      <c r="F411">
        <f>C411+E411</f>
        <v/>
      </c>
      <c r="G411" t="n">
        <v>5.910851822265872</v>
      </c>
      <c r="H411" t="n">
        <v>132</v>
      </c>
      <c r="I411">
        <f>IF(H411=0,0,G411/H411)</f>
        <v/>
      </c>
      <c r="J411" t="n">
        <v>2</v>
      </c>
      <c r="K411" t="n">
        <v>5</v>
      </c>
      <c r="L411" t="n">
        <v>1</v>
      </c>
      <c r="M411" t="n">
        <v>15.58416402539059</v>
      </c>
      <c r="N411">
        <f>D411/2</f>
        <v/>
      </c>
      <c r="O411">
        <f>N411+E411</f>
        <v/>
      </c>
      <c r="P411">
        <f>I411&lt;0.05</f>
        <v/>
      </c>
    </row>
    <row r="412">
      <c r="A412" t="inlineStr">
        <is>
          <t>FOODS_3_469</t>
        </is>
      </c>
      <c r="B412" t="n">
        <v>6.112741720795286</v>
      </c>
      <c r="C412" t="n">
        <v>42.78919204556701</v>
      </c>
      <c r="D412" t="n">
        <v>43</v>
      </c>
      <c r="E412" s="15" t="n">
        <v>1</v>
      </c>
      <c r="F412">
        <f>C412+E412</f>
        <v/>
      </c>
      <c r="G412" t="n">
        <v>3.210807954432994</v>
      </c>
      <c r="H412" t="n">
        <v>176</v>
      </c>
      <c r="I412">
        <f>IF(H412=0,0,G412/H412)</f>
        <v/>
      </c>
      <c r="J412" t="n">
        <v>1</v>
      </c>
      <c r="K412" t="n">
        <v>5</v>
      </c>
      <c r="L412" t="n">
        <v>1</v>
      </c>
      <c r="M412" t="n">
        <v>21.59768400976436</v>
      </c>
      <c r="N412">
        <f>D412/2</f>
        <v/>
      </c>
      <c r="O412">
        <f>N412+E412</f>
        <v/>
      </c>
      <c r="P412">
        <f>I412&lt;0.05</f>
        <v/>
      </c>
    </row>
    <row r="413">
      <c r="A413" t="inlineStr">
        <is>
          <t>FOODS_3_473</t>
        </is>
      </c>
      <c r="B413" t="n">
        <v>5.341739920491186</v>
      </c>
      <c r="C413" t="n">
        <v>37.3921794434383</v>
      </c>
      <c r="D413" t="n">
        <v>38</v>
      </c>
      <c r="E413" s="15" t="n">
        <v>2</v>
      </c>
      <c r="F413">
        <f>C413+E413</f>
        <v/>
      </c>
      <c r="G413" t="n">
        <v>6.607820556561698</v>
      </c>
      <c r="H413" t="n">
        <v>174</v>
      </c>
      <c r="I413">
        <f>IF(H413=0,0,G413/H413)</f>
        <v/>
      </c>
      <c r="J413" t="n">
        <v>2</v>
      </c>
      <c r="K413" t="n">
        <v>5</v>
      </c>
      <c r="L413" t="n">
        <v>2</v>
      </c>
      <c r="M413" t="n">
        <v>17.54832416645106</v>
      </c>
      <c r="N413">
        <f>D413/2</f>
        <v/>
      </c>
      <c r="O413">
        <f>N413+E413</f>
        <v/>
      </c>
      <c r="P413">
        <f>I413&lt;0.05</f>
        <v/>
      </c>
    </row>
    <row r="414">
      <c r="A414" t="inlineStr">
        <is>
          <t>FOODS_3_474</t>
        </is>
      </c>
      <c r="B414" t="n">
        <v>7.945465039113333</v>
      </c>
      <c r="C414" t="n">
        <v>55.61825527379333</v>
      </c>
      <c r="D414" t="n">
        <v>56</v>
      </c>
      <c r="E414" s="15" t="n">
        <v>0</v>
      </c>
      <c r="F414">
        <f>C414+E414</f>
        <v/>
      </c>
      <c r="G414" t="n">
        <v>0</v>
      </c>
      <c r="H414" t="n">
        <v>98</v>
      </c>
      <c r="I414">
        <f>IF(H414=0,0,G414/H414)</f>
        <v/>
      </c>
      <c r="J414" t="n">
        <v>0</v>
      </c>
      <c r="K414" t="n">
        <v>2</v>
      </c>
      <c r="L414" t="n">
        <v>0</v>
      </c>
      <c r="M414" t="n">
        <v>61.58254098807902</v>
      </c>
      <c r="N414">
        <f>D414/2</f>
        <v/>
      </c>
      <c r="O414">
        <f>N414+E414</f>
        <v/>
      </c>
      <c r="P414">
        <f>I414&lt;0.05</f>
        <v/>
      </c>
    </row>
    <row r="415">
      <c r="A415" t="inlineStr">
        <is>
          <t>FOODS_3_475</t>
        </is>
      </c>
      <c r="B415" t="n">
        <v>2.059851002500587</v>
      </c>
      <c r="C415" t="n">
        <v>14.41895701750411</v>
      </c>
      <c r="D415" t="n">
        <v>15</v>
      </c>
      <c r="E415" s="15" t="n">
        <v>0</v>
      </c>
      <c r="F415">
        <f>C415+E415</f>
        <v/>
      </c>
      <c r="G415" t="n">
        <v>2.581042982495894</v>
      </c>
      <c r="H415" t="n">
        <v>54</v>
      </c>
      <c r="I415">
        <f>IF(H415=0,0,G415/H415)</f>
        <v/>
      </c>
      <c r="J415" t="n">
        <v>2</v>
      </c>
      <c r="K415" t="n">
        <v>4</v>
      </c>
      <c r="L415" t="n">
        <v>2</v>
      </c>
      <c r="M415" t="n">
        <v>8.375490789465164</v>
      </c>
      <c r="N415">
        <f>D415/2</f>
        <v/>
      </c>
      <c r="O415">
        <f>N415+E415</f>
        <v/>
      </c>
      <c r="P415">
        <f>I415&lt;0.05</f>
        <v/>
      </c>
    </row>
    <row r="416">
      <c r="A416" t="inlineStr">
        <is>
          <t>FOODS_3_476</t>
        </is>
      </c>
      <c r="B416" t="n">
        <v>3.657227063106549</v>
      </c>
      <c r="C416" t="n">
        <v>25.60058944174584</v>
      </c>
      <c r="D416" t="n">
        <v>26</v>
      </c>
      <c r="E416" s="15" t="n">
        <v>0</v>
      </c>
      <c r="F416">
        <f>C416+E416</f>
        <v/>
      </c>
      <c r="G416" t="n">
        <v>1.399410558254157</v>
      </c>
      <c r="H416" t="n">
        <v>73</v>
      </c>
      <c r="I416">
        <f>IF(H416=0,0,G416/H416)</f>
        <v/>
      </c>
      <c r="J416" t="n">
        <v>1</v>
      </c>
      <c r="K416" t="n">
        <v>3</v>
      </c>
      <c r="L416" t="n">
        <v>1</v>
      </c>
      <c r="M416" t="n">
        <v>17.80029472087292</v>
      </c>
      <c r="N416">
        <f>D416/2</f>
        <v/>
      </c>
      <c r="O416">
        <f>N416+E416</f>
        <v/>
      </c>
      <c r="P416">
        <f>I416&lt;0.05</f>
        <v/>
      </c>
    </row>
    <row r="417">
      <c r="A417" t="inlineStr">
        <is>
          <t>FOODS_3_477</t>
        </is>
      </c>
      <c r="B417" t="n">
        <v>4.388059510221731</v>
      </c>
      <c r="C417" t="n">
        <v>30.71641657155212</v>
      </c>
      <c r="D417" t="n">
        <v>31</v>
      </c>
      <c r="E417" s="15" t="n">
        <v>3</v>
      </c>
      <c r="F417">
        <f>C417+E417</f>
        <v/>
      </c>
      <c r="G417" t="n">
        <v>5.283583428447884</v>
      </c>
      <c r="H417" t="n">
        <v>120</v>
      </c>
      <c r="I417">
        <f>IF(H417=0,0,G417/H417)</f>
        <v/>
      </c>
      <c r="J417" t="n">
        <v>2</v>
      </c>
      <c r="K417" t="n">
        <v>4</v>
      </c>
      <c r="L417" t="n">
        <v>1</v>
      </c>
      <c r="M417" t="n">
        <v>18.59221724492002</v>
      </c>
      <c r="N417">
        <f>D417/2</f>
        <v/>
      </c>
      <c r="O417">
        <f>N417+E417</f>
        <v/>
      </c>
      <c r="P417">
        <f>I417&lt;0.05</f>
        <v/>
      </c>
    </row>
    <row r="418">
      <c r="A418" t="inlineStr">
        <is>
          <t>FOODS_3_479</t>
        </is>
      </c>
      <c r="B418" t="n">
        <v>2.082702288761661</v>
      </c>
      <c r="C418" t="n">
        <v>14.57891602133162</v>
      </c>
      <c r="D418" t="n">
        <v>15</v>
      </c>
      <c r="E418" s="15" t="n">
        <v>5</v>
      </c>
      <c r="F418">
        <f>C418+E418</f>
        <v/>
      </c>
      <c r="G418" t="n">
        <v>2.421083978668378</v>
      </c>
      <c r="H418" t="n">
        <v>62</v>
      </c>
      <c r="I418">
        <f>IF(H418=0,0,G418/H418)</f>
        <v/>
      </c>
      <c r="J418" t="n">
        <v>2</v>
      </c>
      <c r="K418" t="n">
        <v>4</v>
      </c>
      <c r="L418" t="n">
        <v>1</v>
      </c>
      <c r="M418" t="n">
        <v>12.87216029942747</v>
      </c>
      <c r="N418">
        <f>D418/2</f>
        <v/>
      </c>
      <c r="O418">
        <f>N418+E418</f>
        <v/>
      </c>
      <c r="P418">
        <f>I418&lt;0.05</f>
        <v/>
      </c>
    </row>
    <row r="419">
      <c r="A419" t="inlineStr">
        <is>
          <t>FOODS_3_481</t>
        </is>
      </c>
      <c r="B419" t="n">
        <v>3.022773970847427</v>
      </c>
      <c r="C419" t="n">
        <v>21.15941779593199</v>
      </c>
      <c r="D419" t="n">
        <v>22</v>
      </c>
      <c r="E419" s="15" t="n">
        <v>0</v>
      </c>
      <c r="F419">
        <f>C419+E419</f>
        <v/>
      </c>
      <c r="G419" t="n">
        <v>0.8405822040680135</v>
      </c>
      <c r="H419" t="n">
        <v>66</v>
      </c>
      <c r="I419">
        <f>IF(H419=0,0,G419/H419)</f>
        <v/>
      </c>
      <c r="J419" t="n">
        <v>1</v>
      </c>
      <c r="K419" t="n">
        <v>3</v>
      </c>
      <c r="L419" t="n">
        <v>1</v>
      </c>
      <c r="M419" t="n">
        <v>14.47256604082314</v>
      </c>
      <c r="N419">
        <f>D419/2</f>
        <v/>
      </c>
      <c r="O419">
        <f>N419+E419</f>
        <v/>
      </c>
      <c r="P419">
        <f>I419&lt;0.05</f>
        <v/>
      </c>
    </row>
    <row r="420">
      <c r="A420" t="inlineStr">
        <is>
          <t>FOODS_3_482</t>
        </is>
      </c>
      <c r="B420" t="n">
        <v>2.832641055295415</v>
      </c>
      <c r="C420" t="n">
        <v>19.8284873870679</v>
      </c>
      <c r="D420" t="n">
        <v>20</v>
      </c>
      <c r="E420" s="15" t="n">
        <v>1</v>
      </c>
      <c r="F420">
        <f>C420+E420</f>
        <v/>
      </c>
      <c r="G420" t="n">
        <v>3.171512612932098</v>
      </c>
      <c r="H420" t="n">
        <v>86</v>
      </c>
      <c r="I420">
        <f>IF(H420=0,0,G420/H420)</f>
        <v/>
      </c>
      <c r="J420" t="n">
        <v>3</v>
      </c>
      <c r="K420" t="n">
        <v>5</v>
      </c>
      <c r="L420" t="n">
        <v>2</v>
      </c>
      <c r="M420" t="n">
        <v>9.969372747690697</v>
      </c>
      <c r="N420">
        <f>D420/2</f>
        <v/>
      </c>
      <c r="O420">
        <f>N420+E420</f>
        <v/>
      </c>
      <c r="P420">
        <f>I420&lt;0.05</f>
        <v/>
      </c>
    </row>
    <row r="421">
      <c r="A421" t="inlineStr">
        <is>
          <t>FOODS_3_485</t>
        </is>
      </c>
      <c r="B421" t="n">
        <v>2.915495786694215</v>
      </c>
      <c r="C421" t="n">
        <v>20.4084705068595</v>
      </c>
      <c r="D421" t="n">
        <v>21</v>
      </c>
      <c r="E421" s="15" t="n">
        <v>0</v>
      </c>
      <c r="F421">
        <f>C421+E421</f>
        <v/>
      </c>
      <c r="G421" t="n">
        <v>0</v>
      </c>
      <c r="H421" t="n">
        <v>64</v>
      </c>
      <c r="I421">
        <f>IF(H421=0,0,G421/H421)</f>
        <v/>
      </c>
      <c r="J421" t="n">
        <v>0</v>
      </c>
      <c r="K421" t="n">
        <v>4</v>
      </c>
      <c r="L421" t="n">
        <v>0</v>
      </c>
      <c r="M421" t="n">
        <v>15.69418479257378</v>
      </c>
      <c r="N421">
        <f>D421/2</f>
        <v/>
      </c>
      <c r="O421">
        <f>N421+E421</f>
        <v/>
      </c>
      <c r="P421">
        <f>I421&lt;0.05</f>
        <v/>
      </c>
    </row>
    <row r="422">
      <c r="A422" t="inlineStr">
        <is>
          <t>FOODS_3_487</t>
        </is>
      </c>
      <c r="B422" t="n">
        <v>2.913277948758038</v>
      </c>
      <c r="C422" t="n">
        <v>20.39294564130627</v>
      </c>
      <c r="D422" t="n">
        <v>21</v>
      </c>
      <c r="E422" s="15" t="n">
        <v>4</v>
      </c>
      <c r="F422">
        <f>C422+E422</f>
        <v/>
      </c>
      <c r="G422" t="n">
        <v>3.607054358693734</v>
      </c>
      <c r="H422" t="n">
        <v>92</v>
      </c>
      <c r="I422">
        <f>IF(H422=0,0,G422/H422)</f>
        <v/>
      </c>
      <c r="J422" t="n">
        <v>1</v>
      </c>
      <c r="K422" t="n">
        <v>5</v>
      </c>
      <c r="L422" t="n">
        <v>1</v>
      </c>
      <c r="M422" t="n">
        <v>13.70924688664733</v>
      </c>
      <c r="N422">
        <f>D422/2</f>
        <v/>
      </c>
      <c r="O422">
        <f>N422+E422</f>
        <v/>
      </c>
      <c r="P422">
        <f>I422&lt;0.05</f>
        <v/>
      </c>
    </row>
    <row r="423">
      <c r="A423" t="inlineStr">
        <is>
          <t>FOODS_3_489</t>
        </is>
      </c>
      <c r="B423" t="n">
        <v>2.6636315177803</v>
      </c>
      <c r="C423" t="n">
        <v>18.6454206244621</v>
      </c>
      <c r="D423" t="n">
        <v>19</v>
      </c>
      <c r="E423" s="15" t="n">
        <v>1</v>
      </c>
      <c r="F423">
        <f>C423+E423</f>
        <v/>
      </c>
      <c r="G423" t="n">
        <v>3.354579375537902</v>
      </c>
      <c r="H423" t="n">
        <v>74</v>
      </c>
      <c r="I423">
        <f>IF(H423=0,0,G423/H423)</f>
        <v/>
      </c>
      <c r="J423" t="n">
        <v>1</v>
      </c>
      <c r="K423" t="n">
        <v>4</v>
      </c>
      <c r="L423" t="n">
        <v>1</v>
      </c>
      <c r="M423" t="n">
        <v>12.39997334779165</v>
      </c>
      <c r="N423">
        <f>D423/2</f>
        <v/>
      </c>
      <c r="O423">
        <f>N423+E423</f>
        <v/>
      </c>
      <c r="P423">
        <f>I423&lt;0.05</f>
        <v/>
      </c>
    </row>
    <row r="424">
      <c r="A424" t="inlineStr">
        <is>
          <t>FOODS_3_491</t>
        </is>
      </c>
      <c r="B424" t="n">
        <v>10.21050848661635</v>
      </c>
      <c r="C424" t="n">
        <v>71.47355940631444</v>
      </c>
      <c r="D424" t="n">
        <v>72</v>
      </c>
      <c r="E424" s="15" t="n">
        <v>0</v>
      </c>
      <c r="F424">
        <f>C424+E424</f>
        <v/>
      </c>
      <c r="G424" t="n">
        <v>10.52644059368556</v>
      </c>
      <c r="H424" t="n">
        <v>265</v>
      </c>
      <c r="I424">
        <f>IF(H424=0,0,G424/H424)</f>
        <v/>
      </c>
      <c r="J424" t="n">
        <v>2</v>
      </c>
      <c r="K424" t="n">
        <v>4</v>
      </c>
      <c r="L424" t="n">
        <v>1</v>
      </c>
      <c r="M424" t="n">
        <v>42.01313560827043</v>
      </c>
      <c r="N424">
        <f>D424/2</f>
        <v/>
      </c>
      <c r="O424">
        <f>N424+E424</f>
        <v/>
      </c>
      <c r="P424">
        <f>I424&lt;0.05</f>
        <v/>
      </c>
    </row>
    <row r="425">
      <c r="A425" t="inlineStr">
        <is>
          <t>FOODS_3_498</t>
        </is>
      </c>
      <c r="B425" t="n">
        <v>9.179616267944127</v>
      </c>
      <c r="C425" t="n">
        <v>64.25731387560889</v>
      </c>
      <c r="D425" t="n">
        <v>65</v>
      </c>
      <c r="E425" s="15" t="n">
        <v>19</v>
      </c>
      <c r="F425">
        <f>C425+E425</f>
        <v/>
      </c>
      <c r="G425" t="n">
        <v>13.74268612439111</v>
      </c>
      <c r="H425" t="n">
        <v>287</v>
      </c>
      <c r="I425">
        <f>IF(H425=0,0,G425/H425)</f>
        <v/>
      </c>
      <c r="J425" t="n">
        <v>1</v>
      </c>
      <c r="K425" t="n">
        <v>5</v>
      </c>
      <c r="L425" t="n">
        <v>1</v>
      </c>
      <c r="M425" t="n">
        <v>51.7357997949473</v>
      </c>
      <c r="N425">
        <f>D425/2</f>
        <v/>
      </c>
      <c r="O425">
        <f>N425+E425</f>
        <v/>
      </c>
      <c r="P425">
        <f>I425&lt;0.05</f>
        <v/>
      </c>
    </row>
    <row r="426">
      <c r="A426" t="inlineStr">
        <is>
          <t>FOODS_3_499</t>
        </is>
      </c>
      <c r="B426" t="n">
        <v>25.84744723423034</v>
      </c>
      <c r="C426" t="n">
        <v>180.9321306396124</v>
      </c>
      <c r="D426" t="n">
        <v>181</v>
      </c>
      <c r="E426" s="15" t="n">
        <v>0</v>
      </c>
      <c r="F426">
        <f>C426+E426</f>
        <v/>
      </c>
      <c r="G426" t="n">
        <v>0</v>
      </c>
      <c r="H426" t="n">
        <v>502</v>
      </c>
      <c r="I426">
        <f>IF(H426=0,0,G426/H426)</f>
        <v/>
      </c>
      <c r="J426" t="n">
        <v>0</v>
      </c>
      <c r="K426" t="n">
        <v>3</v>
      </c>
      <c r="L426" t="n">
        <v>0</v>
      </c>
      <c r="M426" t="n">
        <v>143.896416353898</v>
      </c>
      <c r="N426">
        <f>D426/2</f>
        <v/>
      </c>
      <c r="O426">
        <f>N426+E426</f>
        <v/>
      </c>
      <c r="P426">
        <f>I426&lt;0.05</f>
        <v/>
      </c>
    </row>
    <row r="427">
      <c r="A427" t="inlineStr">
        <is>
          <t>FOODS_3_501</t>
        </is>
      </c>
      <c r="B427" t="n">
        <v>16.29494212396021</v>
      </c>
      <c r="C427" t="n">
        <v>114.0645948677215</v>
      </c>
      <c r="D427" t="n">
        <v>115</v>
      </c>
      <c r="E427" s="15" t="n">
        <v>0</v>
      </c>
      <c r="F427">
        <f>C427+E427</f>
        <v/>
      </c>
      <c r="G427" t="n">
        <v>1.935405132278561</v>
      </c>
      <c r="H427" t="n">
        <v>429</v>
      </c>
      <c r="I427">
        <f>IF(H427=0,0,G427/H427)</f>
        <v/>
      </c>
      <c r="J427" t="n">
        <v>1</v>
      </c>
      <c r="K427" t="n">
        <v>4</v>
      </c>
      <c r="L427" t="n">
        <v>1</v>
      </c>
      <c r="M427" t="n">
        <v>68.42515457671786</v>
      </c>
      <c r="N427">
        <f>D427/2</f>
        <v/>
      </c>
      <c r="O427">
        <f>N427+E427</f>
        <v/>
      </c>
      <c r="P427">
        <f>I427&lt;0.05</f>
        <v/>
      </c>
    </row>
    <row r="428">
      <c r="A428" t="inlineStr">
        <is>
          <t>FOODS_3_503</t>
        </is>
      </c>
      <c r="B428" t="n">
        <v>8.829597504445001</v>
      </c>
      <c r="C428" t="n">
        <v>61.807182531115</v>
      </c>
      <c r="D428" t="n">
        <v>62</v>
      </c>
      <c r="E428" s="15" t="n">
        <v>0</v>
      </c>
      <c r="F428">
        <f>C428+E428</f>
        <v/>
      </c>
      <c r="G428" t="n">
        <v>0</v>
      </c>
      <c r="H428" t="n">
        <v>176</v>
      </c>
      <c r="I428">
        <f>IF(H428=0,0,G428/H428)</f>
        <v/>
      </c>
      <c r="J428" t="n">
        <v>0</v>
      </c>
      <c r="K428" t="n">
        <v>3</v>
      </c>
      <c r="L428" t="n">
        <v>0</v>
      </c>
      <c r="M428" t="n">
        <v>47.91432538825785</v>
      </c>
      <c r="N428">
        <f>D428/2</f>
        <v/>
      </c>
      <c r="O428">
        <f>N428+E428</f>
        <v/>
      </c>
      <c r="P428">
        <f>I428&lt;0.05</f>
        <v/>
      </c>
    </row>
    <row r="429">
      <c r="A429" t="inlineStr">
        <is>
          <t>FOODS_3_504</t>
        </is>
      </c>
      <c r="B429" t="n">
        <v>2.25600822006079</v>
      </c>
      <c r="C429" t="n">
        <v>15.79205754042553</v>
      </c>
      <c r="D429" t="n">
        <v>16</v>
      </c>
      <c r="E429" s="15" t="n">
        <v>1</v>
      </c>
      <c r="F429">
        <f>C429+E429</f>
        <v/>
      </c>
      <c r="G429" t="n">
        <v>3.207942459574468</v>
      </c>
      <c r="H429" t="n">
        <v>65</v>
      </c>
      <c r="I429">
        <f>IF(H429=0,0,G429/H429)</f>
        <v/>
      </c>
      <c r="J429" t="n">
        <v>3</v>
      </c>
      <c r="K429" t="n">
        <v>4</v>
      </c>
      <c r="L429" t="n">
        <v>3</v>
      </c>
      <c r="M429" t="n">
        <v>8.812583758662614</v>
      </c>
      <c r="N429">
        <f>D429/2</f>
        <v/>
      </c>
      <c r="O429">
        <f>N429+E429</f>
        <v/>
      </c>
      <c r="P429">
        <f>I429&lt;0.05</f>
        <v/>
      </c>
    </row>
    <row r="430">
      <c r="A430" t="inlineStr">
        <is>
          <t>FOODS_3_505</t>
        </is>
      </c>
      <c r="B430" t="n">
        <v>4.025123499050596</v>
      </c>
      <c r="C430" t="n">
        <v>28.17586449335417</v>
      </c>
      <c r="D430" t="n">
        <v>29</v>
      </c>
      <c r="E430" s="15" t="n">
        <v>1</v>
      </c>
      <c r="F430">
        <f>C430+E430</f>
        <v/>
      </c>
      <c r="G430" t="n">
        <v>1.824135506645828</v>
      </c>
      <c r="H430" t="n">
        <v>108</v>
      </c>
      <c r="I430">
        <f>IF(H430=0,0,G430/H430)</f>
        <v/>
      </c>
      <c r="J430" t="n">
        <v>2</v>
      </c>
      <c r="K430" t="n">
        <v>4</v>
      </c>
      <c r="L430" t="n">
        <v>2</v>
      </c>
      <c r="M430" t="n">
        <v>16.82339953429018</v>
      </c>
      <c r="N430">
        <f>D430/2</f>
        <v/>
      </c>
      <c r="O430">
        <f>N430+E430</f>
        <v/>
      </c>
      <c r="P430">
        <f>I430&lt;0.05</f>
        <v/>
      </c>
    </row>
    <row r="431">
      <c r="A431" t="inlineStr">
        <is>
          <t>FOODS_3_508</t>
        </is>
      </c>
      <c r="B431" t="n">
        <v>1.968101382382081</v>
      </c>
      <c r="C431" t="n">
        <v>13.77670967667457</v>
      </c>
      <c r="D431" t="n">
        <v>14</v>
      </c>
      <c r="E431" s="15" t="n">
        <v>0</v>
      </c>
      <c r="F431">
        <f>C431+E431</f>
        <v/>
      </c>
      <c r="G431" t="n">
        <v>1.223290323325433</v>
      </c>
      <c r="H431" t="n">
        <v>54</v>
      </c>
      <c r="I431">
        <f>IF(H431=0,0,G431/H431)</f>
        <v/>
      </c>
      <c r="J431" t="n">
        <v>2</v>
      </c>
      <c r="K431" t="n">
        <v>4</v>
      </c>
      <c r="L431" t="n">
        <v>1</v>
      </c>
      <c r="M431" t="n">
        <v>9.94001843286053</v>
      </c>
      <c r="N431">
        <f>D431/2</f>
        <v/>
      </c>
      <c r="O431">
        <f>N431+E431</f>
        <v/>
      </c>
      <c r="P431">
        <f>I431&lt;0.05</f>
        <v/>
      </c>
    </row>
    <row r="432">
      <c r="A432" t="inlineStr">
        <is>
          <t>FOODS_3_509</t>
        </is>
      </c>
      <c r="B432" t="n">
        <v>2.345156278661384</v>
      </c>
      <c r="C432" t="n">
        <v>16.41609395062969</v>
      </c>
      <c r="D432" t="n">
        <v>17</v>
      </c>
      <c r="E432" s="15" t="n">
        <v>0</v>
      </c>
      <c r="F432">
        <f>C432+E432</f>
        <v/>
      </c>
      <c r="G432" t="n">
        <v>0</v>
      </c>
      <c r="H432" t="n">
        <v>54</v>
      </c>
      <c r="I432">
        <f>IF(H432=0,0,G432/H432)</f>
        <v/>
      </c>
      <c r="J432" t="n">
        <v>0</v>
      </c>
      <c r="K432" t="n">
        <v>4</v>
      </c>
      <c r="L432" t="n">
        <v>0</v>
      </c>
      <c r="M432" t="n">
        <v>11.45180823634398</v>
      </c>
      <c r="N432">
        <f>D432/2</f>
        <v/>
      </c>
      <c r="O432">
        <f>N432+E432</f>
        <v/>
      </c>
      <c r="P432">
        <f>I432&lt;0.05</f>
        <v/>
      </c>
    </row>
    <row r="433">
      <c r="A433" t="inlineStr">
        <is>
          <t>FOODS_3_511</t>
        </is>
      </c>
      <c r="B433" t="n">
        <v>9.668068048595073</v>
      </c>
      <c r="C433" t="n">
        <v>67.67647634016551</v>
      </c>
      <c r="D433" t="n">
        <v>68</v>
      </c>
      <c r="E433" s="15" t="n">
        <v>1</v>
      </c>
      <c r="F433">
        <f>C433+E433</f>
        <v/>
      </c>
      <c r="G433" t="n">
        <v>4.323523659834493</v>
      </c>
      <c r="H433" t="n">
        <v>290</v>
      </c>
      <c r="I433">
        <f>IF(H433=0,0,G433/H433)</f>
        <v/>
      </c>
      <c r="J433" t="n">
        <v>1</v>
      </c>
      <c r="K433" t="n">
        <v>5</v>
      </c>
      <c r="L433" t="n">
        <v>1</v>
      </c>
      <c r="M433" t="n">
        <v>37.41176881440394</v>
      </c>
      <c r="N433">
        <f>D433/2</f>
        <v/>
      </c>
      <c r="O433">
        <f>N433+E433</f>
        <v/>
      </c>
      <c r="P433">
        <f>I433&lt;0.05</f>
        <v/>
      </c>
    </row>
    <row r="434">
      <c r="A434" t="inlineStr">
        <is>
          <t>FOODS_3_513</t>
        </is>
      </c>
      <c r="B434" t="n">
        <v>2.243623718564274</v>
      </c>
      <c r="C434" t="n">
        <v>15.70536602994992</v>
      </c>
      <c r="D434" t="n">
        <v>16</v>
      </c>
      <c r="E434" s="15" t="n">
        <v>6</v>
      </c>
      <c r="F434">
        <f>C434+E434</f>
        <v/>
      </c>
      <c r="G434" t="n">
        <v>3.294633970050086</v>
      </c>
      <c r="H434" t="n">
        <v>84</v>
      </c>
      <c r="I434">
        <f>IF(H434=0,0,G434/H434)</f>
        <v/>
      </c>
      <c r="J434" t="n">
        <v>1</v>
      </c>
      <c r="K434" t="n">
        <v>6</v>
      </c>
      <c r="L434" t="n">
        <v>1</v>
      </c>
      <c r="M434" t="n">
        <v>9.722578434989268</v>
      </c>
      <c r="N434">
        <f>D434/2</f>
        <v/>
      </c>
      <c r="O434">
        <f>N434+E434</f>
        <v/>
      </c>
      <c r="P434">
        <f>I434&lt;0.05</f>
        <v/>
      </c>
    </row>
    <row r="435">
      <c r="A435" t="inlineStr">
        <is>
          <t>FOODS_3_514</t>
        </is>
      </c>
      <c r="B435" t="n">
        <v>3.008411485787073</v>
      </c>
      <c r="C435" t="n">
        <v>21.05888040050951</v>
      </c>
      <c r="D435" t="n">
        <v>22</v>
      </c>
      <c r="E435" s="15" t="n">
        <v>17</v>
      </c>
      <c r="F435">
        <f>C435+E435</f>
        <v/>
      </c>
      <c r="G435" t="n">
        <v>2.941119599490492</v>
      </c>
      <c r="H435" t="n">
        <v>124</v>
      </c>
      <c r="I435">
        <f>IF(H435=0,0,G435/H435)</f>
        <v/>
      </c>
      <c r="J435" t="n">
        <v>1</v>
      </c>
      <c r="K435" t="n">
        <v>6</v>
      </c>
      <c r="L435" t="n">
        <v>1</v>
      </c>
      <c r="M435" t="n">
        <v>19.94118865725204</v>
      </c>
      <c r="N435">
        <f>D435/2</f>
        <v/>
      </c>
      <c r="O435">
        <f>N435+E435</f>
        <v/>
      </c>
      <c r="P435">
        <f>I435&lt;0.05</f>
        <v/>
      </c>
    </row>
    <row r="436">
      <c r="A436" t="inlineStr">
        <is>
          <t>FOODS_3_515</t>
        </is>
      </c>
      <c r="B436" t="n">
        <v>3.715527546885128</v>
      </c>
      <c r="C436" t="n">
        <v>26.0086928281959</v>
      </c>
      <c r="D436" t="n">
        <v>27</v>
      </c>
      <c r="E436" s="15" t="n">
        <v>1</v>
      </c>
      <c r="F436">
        <f>C436+E436</f>
        <v/>
      </c>
      <c r="G436" t="n">
        <v>4.991307171804102</v>
      </c>
      <c r="H436" t="n">
        <v>103</v>
      </c>
      <c r="I436">
        <f>IF(H436=0,0,G436/H436)</f>
        <v/>
      </c>
      <c r="J436" t="n">
        <v>1</v>
      </c>
      <c r="K436" t="n">
        <v>4</v>
      </c>
      <c r="L436" t="n">
        <v>1</v>
      </c>
      <c r="M436" t="n">
        <v>17.96987396098307</v>
      </c>
      <c r="N436">
        <f>D436/2</f>
        <v/>
      </c>
      <c r="O436">
        <f>N436+E436</f>
        <v/>
      </c>
      <c r="P436">
        <f>I436&lt;0.05</f>
        <v/>
      </c>
    </row>
    <row r="437">
      <c r="A437" t="inlineStr">
        <is>
          <t>FOODS_3_516</t>
        </is>
      </c>
      <c r="B437" t="n">
        <v>11.3964565755778</v>
      </c>
      <c r="C437" t="n">
        <v>79.77519602904461</v>
      </c>
      <c r="D437" t="n">
        <v>80</v>
      </c>
      <c r="E437" s="15" t="n">
        <v>0</v>
      </c>
      <c r="F437">
        <f>C437+E437</f>
        <v/>
      </c>
      <c r="G437" t="n">
        <v>1.224803970955392</v>
      </c>
      <c r="H437" t="n">
        <v>292</v>
      </c>
      <c r="I437">
        <f>IF(H437=0,0,G437/H437)</f>
        <v/>
      </c>
      <c r="J437" t="n">
        <v>1</v>
      </c>
      <c r="K437" t="n">
        <v>4</v>
      </c>
      <c r="L437" t="n">
        <v>1</v>
      </c>
      <c r="M437" t="n">
        <v>50.31616944309373</v>
      </c>
      <c r="N437">
        <f>D437/2</f>
        <v/>
      </c>
      <c r="O437">
        <f>N437+E437</f>
        <v/>
      </c>
      <c r="P437">
        <f>I437&lt;0.05</f>
        <v/>
      </c>
    </row>
    <row r="438">
      <c r="A438" t="inlineStr">
        <is>
          <t>FOODS_3_519</t>
        </is>
      </c>
      <c r="B438" t="n">
        <v>3.722863898775989</v>
      </c>
      <c r="C438" t="n">
        <v>26.06004729143192</v>
      </c>
      <c r="D438" t="n">
        <v>27</v>
      </c>
      <c r="E438" s="15" t="n">
        <v>6</v>
      </c>
      <c r="F438">
        <f>C438+E438</f>
        <v/>
      </c>
      <c r="G438" t="n">
        <v>3.939952708568072</v>
      </c>
      <c r="H438" t="n">
        <v>97</v>
      </c>
      <c r="I438">
        <f>IF(H438=0,0,G438/H438)</f>
        <v/>
      </c>
      <c r="J438" t="n">
        <v>1</v>
      </c>
      <c r="K438" t="n">
        <v>4</v>
      </c>
      <c r="L438" t="n">
        <v>1</v>
      </c>
      <c r="M438" t="n">
        <v>23.69143870530684</v>
      </c>
      <c r="N438">
        <f>D438/2</f>
        <v/>
      </c>
      <c r="O438">
        <f>N438+E438</f>
        <v/>
      </c>
      <c r="P438">
        <f>I438&lt;0.05</f>
        <v/>
      </c>
    </row>
    <row r="439">
      <c r="A439" t="inlineStr">
        <is>
          <t>FOODS_3_523</t>
        </is>
      </c>
      <c r="B439" t="n">
        <v>2.474721386608775</v>
      </c>
      <c r="C439" t="n">
        <v>17.32304970626143</v>
      </c>
      <c r="D439" t="n">
        <v>18</v>
      </c>
      <c r="E439" s="15" t="n">
        <v>0</v>
      </c>
      <c r="F439">
        <f>C439+E439</f>
        <v/>
      </c>
      <c r="G439" t="n">
        <v>0.6769502937385745</v>
      </c>
      <c r="H439" t="n">
        <v>56</v>
      </c>
      <c r="I439">
        <f>IF(H439=0,0,G439/H439)</f>
        <v/>
      </c>
      <c r="J439" t="n">
        <v>1</v>
      </c>
      <c r="K439" t="n">
        <v>4</v>
      </c>
      <c r="L439" t="n">
        <v>1</v>
      </c>
      <c r="M439" t="n">
        <v>11.10493922277031</v>
      </c>
      <c r="N439">
        <f>D439/2</f>
        <v/>
      </c>
      <c r="O439">
        <f>N439+E439</f>
        <v/>
      </c>
      <c r="P439">
        <f>I439&lt;0.05</f>
        <v/>
      </c>
    </row>
    <row r="440">
      <c r="A440" t="inlineStr">
        <is>
          <t>FOODS_3_530</t>
        </is>
      </c>
      <c r="B440" t="n">
        <v>2.255177507885672</v>
      </c>
      <c r="C440" t="n">
        <v>15.78624255519971</v>
      </c>
      <c r="D440" t="n">
        <v>16</v>
      </c>
      <c r="E440" s="15" t="n">
        <v>9</v>
      </c>
      <c r="F440">
        <f>C440+E440</f>
        <v/>
      </c>
      <c r="G440" t="n">
        <v>3.213757444800294</v>
      </c>
      <c r="H440" t="n">
        <v>88</v>
      </c>
      <c r="I440">
        <f>IF(H440=0,0,G440/H440)</f>
        <v/>
      </c>
      <c r="J440" t="n">
        <v>1</v>
      </c>
      <c r="K440" t="n">
        <v>6</v>
      </c>
      <c r="L440" t="n">
        <v>1</v>
      </c>
      <c r="M440" t="n">
        <v>11.13276626182851</v>
      </c>
      <c r="N440">
        <f>D440/2</f>
        <v/>
      </c>
      <c r="O440">
        <f>N440+E440</f>
        <v/>
      </c>
      <c r="P440">
        <f>I440&lt;0.05</f>
        <v/>
      </c>
    </row>
    <row r="441">
      <c r="A441" t="inlineStr">
        <is>
          <t>FOODS_3_532</t>
        </is>
      </c>
      <c r="B441" t="n">
        <v>3.199577853044194</v>
      </c>
      <c r="C441" t="n">
        <v>22.39704497130936</v>
      </c>
      <c r="D441" t="n">
        <v>23</v>
      </c>
      <c r="E441" s="15" t="n">
        <v>0</v>
      </c>
      <c r="F441">
        <f>C441+E441</f>
        <v/>
      </c>
      <c r="G441" t="n">
        <v>0</v>
      </c>
      <c r="H441" t="n">
        <v>54</v>
      </c>
      <c r="I441">
        <f>IF(H441=0,0,G441/H441)</f>
        <v/>
      </c>
      <c r="J441" t="n">
        <v>0</v>
      </c>
      <c r="K441" t="n">
        <v>3</v>
      </c>
      <c r="L441" t="n">
        <v>0</v>
      </c>
      <c r="M441" t="n">
        <v>19.36133068559507</v>
      </c>
      <c r="N441">
        <f>D441/2</f>
        <v/>
      </c>
      <c r="O441">
        <f>N441+E441</f>
        <v/>
      </c>
      <c r="P441">
        <f>I441&lt;0.05</f>
        <v/>
      </c>
    </row>
    <row r="442">
      <c r="A442" t="inlineStr">
        <is>
          <t>FOODS_3_534</t>
        </is>
      </c>
      <c r="B442" t="n">
        <v>3.812122793997137</v>
      </c>
      <c r="C442" t="n">
        <v>26.68485955797996</v>
      </c>
      <c r="D442" t="n">
        <v>27</v>
      </c>
      <c r="E442" s="15" t="n">
        <v>11</v>
      </c>
      <c r="F442">
        <f>C442+E442</f>
        <v/>
      </c>
      <c r="G442" t="n">
        <v>7.315140442020038</v>
      </c>
      <c r="H442" t="n">
        <v>156</v>
      </c>
      <c r="I442">
        <f>IF(H442=0,0,G442/H442)</f>
        <v/>
      </c>
      <c r="J442" t="n">
        <v>2</v>
      </c>
      <c r="K442" t="n">
        <v>6</v>
      </c>
      <c r="L442" t="n">
        <v>2</v>
      </c>
      <c r="M442" t="n">
        <v>14.96818419099571</v>
      </c>
      <c r="N442">
        <f>D442/2</f>
        <v/>
      </c>
      <c r="O442">
        <f>N442+E442</f>
        <v/>
      </c>
      <c r="P442">
        <f>I442&lt;0.05</f>
        <v/>
      </c>
    </row>
    <row r="443">
      <c r="A443" t="inlineStr">
        <is>
          <t>FOODS_3_535</t>
        </is>
      </c>
      <c r="B443" t="n">
        <v>2.102301444484983</v>
      </c>
      <c r="C443" t="n">
        <v>14.71611011139488</v>
      </c>
      <c r="D443" t="n">
        <v>15</v>
      </c>
      <c r="E443" s="15" t="n">
        <v>1</v>
      </c>
      <c r="F443">
        <f>C443+E443</f>
        <v/>
      </c>
      <c r="G443" t="n">
        <v>2.283889888605117</v>
      </c>
      <c r="H443" t="n">
        <v>60</v>
      </c>
      <c r="I443">
        <f>IF(H443=0,0,G443/H443)</f>
        <v/>
      </c>
      <c r="J443" t="n">
        <v>2</v>
      </c>
      <c r="K443" t="n">
        <v>4</v>
      </c>
      <c r="L443" t="n">
        <v>1</v>
      </c>
      <c r="M443" t="n">
        <v>9.163591091320514</v>
      </c>
      <c r="N443">
        <f>D443/2</f>
        <v/>
      </c>
      <c r="O443">
        <f>N443+E443</f>
        <v/>
      </c>
      <c r="P443">
        <f>I443&lt;0.05</f>
        <v/>
      </c>
    </row>
    <row r="444">
      <c r="A444" t="inlineStr">
        <is>
          <t>FOODS_3_537</t>
        </is>
      </c>
      <c r="B444" t="n">
        <v>1.967595029480826</v>
      </c>
      <c r="C444" t="n">
        <v>13.77316520636578</v>
      </c>
      <c r="D444" t="n">
        <v>14</v>
      </c>
      <c r="E444" s="15" t="n">
        <v>1</v>
      </c>
      <c r="F444">
        <f>C444+E444</f>
        <v/>
      </c>
      <c r="G444" t="n">
        <v>2.22683479363422</v>
      </c>
      <c r="H444" t="n">
        <v>55</v>
      </c>
      <c r="I444">
        <f>IF(H444=0,0,G444/H444)</f>
        <v/>
      </c>
      <c r="J444" t="n">
        <v>2</v>
      </c>
      <c r="K444" t="n">
        <v>4</v>
      </c>
      <c r="L444" t="n">
        <v>2</v>
      </c>
      <c r="M444" t="n">
        <v>8.237106829935524</v>
      </c>
      <c r="N444">
        <f>D444/2</f>
        <v/>
      </c>
      <c r="O444">
        <f>N444+E444</f>
        <v/>
      </c>
      <c r="P444">
        <f>I444&lt;0.05</f>
        <v/>
      </c>
    </row>
    <row r="445">
      <c r="A445" t="inlineStr">
        <is>
          <t>FOODS_3_540</t>
        </is>
      </c>
      <c r="B445" t="n">
        <v>7.740116279246858</v>
      </c>
      <c r="C445" t="n">
        <v>54.18081395472801</v>
      </c>
      <c r="D445" t="n">
        <v>55</v>
      </c>
      <c r="E445" s="15" t="n">
        <v>0</v>
      </c>
      <c r="F445">
        <f>C445+E445</f>
        <v/>
      </c>
      <c r="G445" t="n">
        <v>4.819186045271991</v>
      </c>
      <c r="H445" t="n">
        <v>210</v>
      </c>
      <c r="I445">
        <f>IF(H445=0,0,G445/H445)</f>
        <v/>
      </c>
      <c r="J445" t="n">
        <v>2</v>
      </c>
      <c r="K445" t="n">
        <v>4</v>
      </c>
      <c r="L445" t="n">
        <v>1</v>
      </c>
      <c r="M445" t="n">
        <v>31.06418189461744</v>
      </c>
      <c r="N445">
        <f>D445/2</f>
        <v/>
      </c>
      <c r="O445">
        <f>N445+E445</f>
        <v/>
      </c>
      <c r="P445">
        <f>I445&lt;0.05</f>
        <v/>
      </c>
    </row>
    <row r="446">
      <c r="A446" t="inlineStr">
        <is>
          <t>FOODS_3_546</t>
        </is>
      </c>
      <c r="B446" t="n">
        <v>3.843601221215988</v>
      </c>
      <c r="C446" t="n">
        <v>26.90520854851192</v>
      </c>
      <c r="D446" t="n">
        <v>27</v>
      </c>
      <c r="E446" s="15" t="n">
        <v>0</v>
      </c>
      <c r="F446">
        <f>C446+E446</f>
        <v/>
      </c>
      <c r="G446" t="n">
        <v>0</v>
      </c>
      <c r="H446" t="n">
        <v>59</v>
      </c>
      <c r="I446">
        <f>IF(H446=0,0,G446/H446)</f>
        <v/>
      </c>
      <c r="J446" t="n">
        <v>0</v>
      </c>
      <c r="K446" t="n">
        <v>3</v>
      </c>
      <c r="L446" t="n">
        <v>0</v>
      </c>
      <c r="M446" t="n">
        <v>23.54806569136908</v>
      </c>
      <c r="N446">
        <f>D446/2</f>
        <v/>
      </c>
      <c r="O446">
        <f>N446+E446</f>
        <v/>
      </c>
      <c r="P446">
        <f>I446&lt;0.05</f>
        <v/>
      </c>
    </row>
    <row r="447">
      <c r="A447" t="inlineStr">
        <is>
          <t>FOODS_3_547</t>
        </is>
      </c>
      <c r="B447" t="n">
        <v>7.588969381689505</v>
      </c>
      <c r="C447" t="n">
        <v>53.12278567182653</v>
      </c>
      <c r="D447" t="n">
        <v>54</v>
      </c>
      <c r="E447" s="15" t="n">
        <v>17</v>
      </c>
      <c r="F447">
        <f>C447+E447</f>
        <v/>
      </c>
      <c r="G447" t="n">
        <v>8.877214328173466</v>
      </c>
      <c r="H447" t="n">
        <v>195</v>
      </c>
      <c r="I447">
        <f>IF(H447=0,0,G447/H447)</f>
        <v/>
      </c>
      <c r="J447" t="n">
        <v>2</v>
      </c>
      <c r="K447" t="n">
        <v>4</v>
      </c>
      <c r="L447" t="n">
        <v>1</v>
      </c>
      <c r="M447" t="n">
        <v>48.41478315568331</v>
      </c>
      <c r="N447">
        <f>D447/2</f>
        <v/>
      </c>
      <c r="O447">
        <f>N447+E447</f>
        <v/>
      </c>
      <c r="P447">
        <f>I447&lt;0.05</f>
        <v/>
      </c>
    </row>
    <row r="448">
      <c r="A448" t="inlineStr">
        <is>
          <t>FOODS_3_551</t>
        </is>
      </c>
      <c r="B448" t="n">
        <v>2.100884865934449</v>
      </c>
      <c r="C448" t="n">
        <v>14.70619406154114</v>
      </c>
      <c r="D448" t="n">
        <v>15</v>
      </c>
      <c r="E448" s="15" t="n">
        <v>6</v>
      </c>
      <c r="F448">
        <f>C448+E448</f>
        <v/>
      </c>
      <c r="G448" t="n">
        <v>2.293805938458856</v>
      </c>
      <c r="H448" t="n">
        <v>85</v>
      </c>
      <c r="I448">
        <f>IF(H448=0,0,G448/H448)</f>
        <v/>
      </c>
      <c r="J448" t="n">
        <v>2</v>
      </c>
      <c r="K448" t="n">
        <v>6</v>
      </c>
      <c r="L448" t="n">
        <v>2</v>
      </c>
      <c r="M448" t="n">
        <v>8.082110892309224</v>
      </c>
      <c r="N448">
        <f>D448/2</f>
        <v/>
      </c>
      <c r="O448">
        <f>N448+E448</f>
        <v/>
      </c>
      <c r="P448">
        <f>I448&lt;0.05</f>
        <v/>
      </c>
    </row>
    <row r="449">
      <c r="A449" t="inlineStr">
        <is>
          <t>FOODS_3_555</t>
        </is>
      </c>
      <c r="B449" t="n">
        <v>28.40170210127715</v>
      </c>
      <c r="C449" t="n">
        <v>198.81191470894</v>
      </c>
      <c r="D449" t="n">
        <v>199</v>
      </c>
      <c r="E449" s="15" t="n">
        <v>4</v>
      </c>
      <c r="F449">
        <f>C449+E449</f>
        <v/>
      </c>
      <c r="G449" t="n">
        <v>41.18808529105996</v>
      </c>
      <c r="H449" t="n">
        <v>907</v>
      </c>
      <c r="I449">
        <f>IF(H449=0,0,G449/H449)</f>
        <v/>
      </c>
      <c r="J449" t="n">
        <v>2</v>
      </c>
      <c r="K449" t="n">
        <v>5</v>
      </c>
      <c r="L449" t="n">
        <v>2</v>
      </c>
      <c r="M449" t="n">
        <v>99.24541029477288</v>
      </c>
      <c r="N449">
        <f>D449/2</f>
        <v/>
      </c>
      <c r="O449">
        <f>N449+E449</f>
        <v/>
      </c>
      <c r="P449">
        <f>I449&lt;0.05</f>
        <v/>
      </c>
    </row>
    <row r="450">
      <c r="A450" t="inlineStr">
        <is>
          <t>FOODS_3_557</t>
        </is>
      </c>
      <c r="B450" t="n">
        <v>1.848357726694515</v>
      </c>
      <c r="C450" t="n">
        <v>12.9385040868616</v>
      </c>
      <c r="D450" t="n">
        <v>13</v>
      </c>
      <c r="E450" s="15" t="n">
        <v>13</v>
      </c>
      <c r="F450">
        <f>C450+E450</f>
        <v/>
      </c>
      <c r="G450" t="n">
        <v>4.061495913138398</v>
      </c>
      <c r="H450" t="n">
        <v>90</v>
      </c>
      <c r="I450">
        <f>IF(H450=0,0,G450/H450)</f>
        <v/>
      </c>
      <c r="J450" t="n">
        <v>3</v>
      </c>
      <c r="K450" t="n">
        <v>7</v>
      </c>
      <c r="L450" t="n">
        <v>2</v>
      </c>
      <c r="M450" t="n">
        <v>13.63025321110554</v>
      </c>
      <c r="N450">
        <f>D450/2</f>
        <v/>
      </c>
      <c r="O450">
        <f>N450+E450</f>
        <v/>
      </c>
      <c r="P450">
        <f>I450&lt;0.05</f>
        <v/>
      </c>
    </row>
    <row r="451">
      <c r="A451" t="inlineStr">
        <is>
          <t>FOODS_3_560</t>
        </is>
      </c>
      <c r="B451" t="n">
        <v>2.992965834931543</v>
      </c>
      <c r="C451" t="n">
        <v>20.9507608445208</v>
      </c>
      <c r="D451" t="n">
        <v>21</v>
      </c>
      <c r="E451" s="15" t="n">
        <v>0</v>
      </c>
      <c r="F451">
        <f>C451+E451</f>
        <v/>
      </c>
      <c r="G451" t="n">
        <v>0</v>
      </c>
      <c r="H451" t="n">
        <v>68</v>
      </c>
      <c r="I451">
        <f>IF(H451=0,0,G451/H451)</f>
        <v/>
      </c>
      <c r="J451" t="n">
        <v>0</v>
      </c>
      <c r="K451" t="n">
        <v>4</v>
      </c>
      <c r="L451" t="n">
        <v>0</v>
      </c>
      <c r="M451" t="n">
        <v>13.9507608445208</v>
      </c>
      <c r="N451">
        <f>D451/2</f>
        <v/>
      </c>
      <c r="O451">
        <f>N451+E451</f>
        <v/>
      </c>
      <c r="P451">
        <f>I451&lt;0.05</f>
        <v/>
      </c>
    </row>
    <row r="452">
      <c r="A452" t="inlineStr">
        <is>
          <t>FOODS_3_561</t>
        </is>
      </c>
      <c r="B452" t="n">
        <v>4.981714257396855</v>
      </c>
      <c r="C452" t="n">
        <v>34.87199980177799</v>
      </c>
      <c r="D452" t="n">
        <v>35</v>
      </c>
      <c r="E452" s="15" t="n">
        <v>0</v>
      </c>
      <c r="F452">
        <f>C452+E452</f>
        <v/>
      </c>
      <c r="G452" t="n">
        <v>0</v>
      </c>
      <c r="H452" t="n">
        <v>97</v>
      </c>
      <c r="I452">
        <f>IF(H452=0,0,G452/H452)</f>
        <v/>
      </c>
      <c r="J452" t="n">
        <v>0</v>
      </c>
      <c r="K452" t="n">
        <v>3</v>
      </c>
      <c r="L452" t="n">
        <v>0</v>
      </c>
      <c r="M452" t="n">
        <v>28.80057123034941</v>
      </c>
      <c r="N452">
        <f>D452/2</f>
        <v/>
      </c>
      <c r="O452">
        <f>N452+E452</f>
        <v/>
      </c>
      <c r="P452">
        <f>I452&lt;0.05</f>
        <v/>
      </c>
    </row>
    <row r="453">
      <c r="A453" t="inlineStr">
        <is>
          <t>FOODS_3_562</t>
        </is>
      </c>
      <c r="B453" t="n">
        <v>4.346344033736139</v>
      </c>
      <c r="C453" t="n">
        <v>30.42440823615298</v>
      </c>
      <c r="D453" t="n">
        <v>31</v>
      </c>
      <c r="E453" s="15" t="n">
        <v>0</v>
      </c>
      <c r="F453">
        <f>C453+E453</f>
        <v/>
      </c>
      <c r="G453" t="n">
        <v>2.575591763847022</v>
      </c>
      <c r="H453" t="n">
        <v>114</v>
      </c>
      <c r="I453">
        <f>IF(H453=0,0,G453/H453)</f>
        <v/>
      </c>
      <c r="J453" t="n">
        <v>2</v>
      </c>
      <c r="K453" t="n">
        <v>4</v>
      </c>
      <c r="L453" t="n">
        <v>1</v>
      </c>
      <c r="M453" t="n">
        <v>17.06830617711474</v>
      </c>
      <c r="N453">
        <f>D453/2</f>
        <v/>
      </c>
      <c r="O453">
        <f>N453+E453</f>
        <v/>
      </c>
      <c r="P453">
        <f>I453&lt;0.05</f>
        <v/>
      </c>
    </row>
    <row r="454">
      <c r="A454" t="inlineStr">
        <is>
          <t>FOODS_3_565</t>
        </is>
      </c>
      <c r="B454" t="n">
        <v>3.337080562386032</v>
      </c>
      <c r="C454" t="n">
        <v>23.35956393670222</v>
      </c>
      <c r="D454" t="n">
        <v>24</v>
      </c>
      <c r="E454" s="15" t="n">
        <v>10</v>
      </c>
      <c r="F454">
        <f>C454+E454</f>
        <v/>
      </c>
      <c r="G454" t="n">
        <v>4.640436063297777</v>
      </c>
      <c r="H454" t="n">
        <v>107</v>
      </c>
      <c r="I454">
        <f>IF(H454=0,0,G454/H454)</f>
        <v/>
      </c>
      <c r="J454" t="n">
        <v>2</v>
      </c>
      <c r="K454" t="n">
        <v>5</v>
      </c>
      <c r="L454" t="n">
        <v>1</v>
      </c>
      <c r="M454" t="n">
        <v>20.05538723824095</v>
      </c>
      <c r="N454">
        <f>D454/2</f>
        <v/>
      </c>
      <c r="O454">
        <f>N454+E454</f>
        <v/>
      </c>
      <c r="P454">
        <f>I454&lt;0.05</f>
        <v/>
      </c>
    </row>
    <row r="455">
      <c r="A455" t="inlineStr">
        <is>
          <t>FOODS_3_566</t>
        </is>
      </c>
      <c r="B455" t="n">
        <v>6.917360347491363</v>
      </c>
      <c r="C455" t="n">
        <v>48.42152243243955</v>
      </c>
      <c r="D455" t="n">
        <v>49</v>
      </c>
      <c r="E455" s="15" t="n">
        <v>0</v>
      </c>
      <c r="F455">
        <f>C455+E455</f>
        <v/>
      </c>
      <c r="G455" t="n">
        <v>3.578477567560455</v>
      </c>
      <c r="H455" t="n">
        <v>172</v>
      </c>
      <c r="I455">
        <f>IF(H455=0,0,G455/H455)</f>
        <v/>
      </c>
      <c r="J455" t="n">
        <v>1</v>
      </c>
      <c r="K455" t="n">
        <v>4</v>
      </c>
      <c r="L455" t="n">
        <v>1</v>
      </c>
      <c r="M455" t="n">
        <v>28.37604052123705</v>
      </c>
      <c r="N455">
        <f>D455/2</f>
        <v/>
      </c>
      <c r="O455">
        <f>N455+E455</f>
        <v/>
      </c>
      <c r="P455">
        <f>I455&lt;0.05</f>
        <v/>
      </c>
    </row>
    <row r="456">
      <c r="A456" t="inlineStr">
        <is>
          <t>FOODS_3_568</t>
        </is>
      </c>
      <c r="B456" t="n">
        <v>4.465238744242416</v>
      </c>
      <c r="C456" t="n">
        <v>31.25667120969691</v>
      </c>
      <c r="D456" t="n">
        <v>32</v>
      </c>
      <c r="E456" s="15" t="n">
        <v>0</v>
      </c>
      <c r="F456">
        <f>C456+E456</f>
        <v/>
      </c>
      <c r="G456" t="n">
        <v>0.7433287903030923</v>
      </c>
      <c r="H456" t="n">
        <v>127</v>
      </c>
      <c r="I456">
        <f>IF(H456=0,0,G456/H456)</f>
        <v/>
      </c>
      <c r="J456" t="n">
        <v>1</v>
      </c>
      <c r="K456" t="n">
        <v>4</v>
      </c>
      <c r="L456" t="n">
        <v>1</v>
      </c>
      <c r="M456" t="n">
        <v>16.30500097350648</v>
      </c>
      <c r="N456">
        <f>D456/2</f>
        <v/>
      </c>
      <c r="O456">
        <f>N456+E456</f>
        <v/>
      </c>
      <c r="P456">
        <f>I456&lt;0.05</f>
        <v/>
      </c>
    </row>
    <row r="457">
      <c r="A457" t="inlineStr">
        <is>
          <t>FOODS_3_570</t>
        </is>
      </c>
      <c r="B457" t="n">
        <v>5.997838401303428</v>
      </c>
      <c r="C457" t="n">
        <v>41.98486880912399</v>
      </c>
      <c r="D457" t="n">
        <v>42</v>
      </c>
      <c r="E457" s="15" t="n">
        <v>12</v>
      </c>
      <c r="F457">
        <f>C457+E457</f>
        <v/>
      </c>
      <c r="G457" t="n">
        <v>4.015131190876005</v>
      </c>
      <c r="H457" t="n">
        <v>234</v>
      </c>
      <c r="I457">
        <f>IF(H457=0,0,G457/H457)</f>
        <v/>
      </c>
      <c r="J457" t="n">
        <v>2</v>
      </c>
      <c r="K457" t="n">
        <v>6</v>
      </c>
      <c r="L457" t="n">
        <v>2</v>
      </c>
      <c r="M457" t="n">
        <v>19.53247188766943</v>
      </c>
      <c r="N457">
        <f>D457/2</f>
        <v/>
      </c>
      <c r="O457">
        <f>N457+E457</f>
        <v/>
      </c>
      <c r="P457">
        <f>I457&lt;0.05</f>
        <v/>
      </c>
    </row>
    <row r="458">
      <c r="A458" t="inlineStr">
        <is>
          <t>FOODS_3_572</t>
        </is>
      </c>
      <c r="B458" t="n">
        <v>12.00289887298741</v>
      </c>
      <c r="C458" t="n">
        <v>84.02029211091184</v>
      </c>
      <c r="D458" t="n">
        <v>85</v>
      </c>
      <c r="E458" s="15" t="n">
        <v>0</v>
      </c>
      <c r="F458">
        <f>C458+E458</f>
        <v/>
      </c>
      <c r="G458" t="n">
        <v>4.979707889088161</v>
      </c>
      <c r="H458" t="n">
        <v>344</v>
      </c>
      <c r="I458">
        <f>IF(H458=0,0,G458/H458)</f>
        <v/>
      </c>
      <c r="J458" t="n">
        <v>1</v>
      </c>
      <c r="K458" t="n">
        <v>4</v>
      </c>
      <c r="L458" t="n">
        <v>1</v>
      </c>
      <c r="M458" t="n">
        <v>35.19813882123644</v>
      </c>
      <c r="N458">
        <f>D458/2</f>
        <v/>
      </c>
      <c r="O458">
        <f>N458+E458</f>
        <v/>
      </c>
      <c r="P458">
        <f>I458&lt;0.05</f>
        <v/>
      </c>
    </row>
    <row r="459">
      <c r="A459" t="inlineStr">
        <is>
          <t>FOODS_3_573</t>
        </is>
      </c>
      <c r="B459" t="n">
        <v>5.556154826289358</v>
      </c>
      <c r="C459" t="n">
        <v>38.89308378402551</v>
      </c>
      <c r="D459" t="n">
        <v>39</v>
      </c>
      <c r="E459" s="15" t="n">
        <v>0</v>
      </c>
      <c r="F459">
        <f>C459+E459</f>
        <v/>
      </c>
      <c r="G459" t="n">
        <v>6.106916215974493</v>
      </c>
      <c r="H459" t="n">
        <v>127</v>
      </c>
      <c r="I459">
        <f>IF(H459=0,0,G459/H459)</f>
        <v/>
      </c>
      <c r="J459" t="n">
        <v>1</v>
      </c>
      <c r="K459" t="n">
        <v>4</v>
      </c>
      <c r="L459" t="n">
        <v>1</v>
      </c>
      <c r="M459" t="n">
        <v>28.61994652514832</v>
      </c>
      <c r="N459">
        <f>D459/2</f>
        <v/>
      </c>
      <c r="O459">
        <f>N459+E459</f>
        <v/>
      </c>
      <c r="P459">
        <f>I459&lt;0.05</f>
        <v/>
      </c>
    </row>
    <row r="460">
      <c r="A460" t="inlineStr">
        <is>
          <t>FOODS_3_574</t>
        </is>
      </c>
      <c r="B460" t="n">
        <v>4.960261758582482</v>
      </c>
      <c r="C460" t="n">
        <v>34.72183231007737</v>
      </c>
      <c r="D460" t="n">
        <v>35</v>
      </c>
      <c r="E460" s="15" t="n">
        <v>0</v>
      </c>
      <c r="F460">
        <f>C460+E460</f>
        <v/>
      </c>
      <c r="G460" t="n">
        <v>0</v>
      </c>
      <c r="H460" t="n">
        <v>77</v>
      </c>
      <c r="I460">
        <f>IF(H460=0,0,G460/H460)</f>
        <v/>
      </c>
      <c r="J460" t="n">
        <v>0</v>
      </c>
      <c r="K460" t="n">
        <v>3</v>
      </c>
      <c r="L460" t="n">
        <v>0</v>
      </c>
      <c r="M460" t="n">
        <v>30.32897516722024</v>
      </c>
      <c r="N460">
        <f>D460/2</f>
        <v/>
      </c>
      <c r="O460">
        <f>N460+E460</f>
        <v/>
      </c>
      <c r="P460">
        <f>I460&lt;0.05</f>
        <v/>
      </c>
    </row>
    <row r="461">
      <c r="A461" t="inlineStr">
        <is>
          <t>FOODS_3_577</t>
        </is>
      </c>
      <c r="B461" t="n">
        <v>1.757112968764044</v>
      </c>
      <c r="C461" t="n">
        <v>12.29979078134831</v>
      </c>
      <c r="D461" t="n">
        <v>13</v>
      </c>
      <c r="E461" s="15" t="n">
        <v>4</v>
      </c>
      <c r="F461">
        <f>C461+E461</f>
        <v/>
      </c>
      <c r="G461" t="n">
        <v>2.700209218651693</v>
      </c>
      <c r="H461" t="n">
        <v>57</v>
      </c>
      <c r="I461">
        <f>IF(H461=0,0,G461/H461)</f>
        <v/>
      </c>
      <c r="J461" t="n">
        <v>1</v>
      </c>
      <c r="K461" t="n">
        <v>5</v>
      </c>
      <c r="L461" t="n">
        <v>1</v>
      </c>
      <c r="M461" t="n">
        <v>9.549865502295338</v>
      </c>
      <c r="N461">
        <f>D461/2</f>
        <v/>
      </c>
      <c r="O461">
        <f>N461+E461</f>
        <v/>
      </c>
      <c r="P461">
        <f>I461&lt;0.05</f>
        <v/>
      </c>
    </row>
    <row r="462">
      <c r="A462" t="inlineStr">
        <is>
          <t>FOODS_3_578</t>
        </is>
      </c>
      <c r="B462" t="n">
        <v>0.9148865118770516</v>
      </c>
      <c r="C462" t="n">
        <v>6.404205583139361</v>
      </c>
      <c r="D462" t="n">
        <v>7</v>
      </c>
      <c r="E462" s="15" t="n">
        <v>36</v>
      </c>
      <c r="F462">
        <f>C462+E462</f>
        <v/>
      </c>
      <c r="G462" t="n">
        <v>4.595794416860642</v>
      </c>
      <c r="H462" t="n">
        <v>173</v>
      </c>
      <c r="I462">
        <f>IF(H462=0,0,G462/H462)</f>
        <v/>
      </c>
      <c r="J462" t="n">
        <v>3</v>
      </c>
      <c r="K462" t="n">
        <v>21</v>
      </c>
      <c r="L462" t="n">
        <v>2</v>
      </c>
      <c r="M462" t="n">
        <v>9.358644851121198</v>
      </c>
      <c r="N462">
        <f>D462/2</f>
        <v/>
      </c>
      <c r="O462">
        <f>N462+E462</f>
        <v/>
      </c>
      <c r="P462">
        <f>I462&lt;0.05</f>
        <v/>
      </c>
    </row>
    <row r="463">
      <c r="A463" t="inlineStr">
        <is>
          <t>FOODS_3_580</t>
        </is>
      </c>
      <c r="B463" t="n">
        <v>6.744907649126183</v>
      </c>
      <c r="C463" t="n">
        <v>47.21435354388328</v>
      </c>
      <c r="D463" t="n">
        <v>48</v>
      </c>
      <c r="E463" s="15" t="n">
        <v>24</v>
      </c>
      <c r="F463">
        <f>C463+E463</f>
        <v/>
      </c>
      <c r="G463" t="n">
        <v>10.78564645611672</v>
      </c>
      <c r="H463" t="n">
        <v>223</v>
      </c>
      <c r="I463">
        <f>IF(H463=0,0,G463/H463)</f>
        <v/>
      </c>
      <c r="J463" t="n">
        <v>1</v>
      </c>
      <c r="K463" t="n">
        <v>5</v>
      </c>
      <c r="L463" t="n">
        <v>1</v>
      </c>
      <c r="M463" t="n">
        <v>45.33168110277375</v>
      </c>
      <c r="N463">
        <f>D463/2</f>
        <v/>
      </c>
      <c r="O463">
        <f>N463+E463</f>
        <v/>
      </c>
      <c r="P463">
        <f>I463&lt;0.05</f>
        <v/>
      </c>
    </row>
    <row r="464">
      <c r="A464" t="inlineStr">
        <is>
          <t>FOODS_3_581</t>
        </is>
      </c>
      <c r="B464" t="n">
        <v>1.883588063466015</v>
      </c>
      <c r="C464" t="n">
        <v>13.1851164442621</v>
      </c>
      <c r="D464" t="n">
        <v>14</v>
      </c>
      <c r="E464" s="15" t="n">
        <v>5</v>
      </c>
      <c r="F464">
        <f>C464+E464</f>
        <v/>
      </c>
      <c r="G464" t="n">
        <v>1.814883555737897</v>
      </c>
      <c r="H464" t="n">
        <v>55</v>
      </c>
      <c r="I464">
        <f>IF(H464=0,0,G464/H464)</f>
        <v/>
      </c>
      <c r="J464" t="n">
        <v>1</v>
      </c>
      <c r="K464" t="n">
        <v>4</v>
      </c>
      <c r="L464" t="n">
        <v>1</v>
      </c>
      <c r="M464" t="n">
        <v>12.46162793647538</v>
      </c>
      <c r="N464">
        <f>D464/2</f>
        <v/>
      </c>
      <c r="O464">
        <f>N464+E464</f>
        <v/>
      </c>
      <c r="P464">
        <f>I464&lt;0.05</f>
        <v/>
      </c>
    </row>
    <row r="465">
      <c r="A465" t="inlineStr">
        <is>
          <t>FOODS_3_582</t>
        </is>
      </c>
      <c r="B465" t="n">
        <v>1.303396447672537</v>
      </c>
      <c r="C465" t="n">
        <v>9.123775133707758</v>
      </c>
      <c r="D465" t="n">
        <v>10</v>
      </c>
      <c r="E465" s="15" t="n">
        <v>11</v>
      </c>
      <c r="F465">
        <f>C465+E465</f>
        <v/>
      </c>
      <c r="G465" t="n">
        <v>2.87622486629224</v>
      </c>
      <c r="H465" t="n">
        <v>65</v>
      </c>
      <c r="I465">
        <f>IF(H465=0,0,G465/H465)</f>
        <v/>
      </c>
      <c r="J465" t="n">
        <v>2</v>
      </c>
      <c r="K465" t="n">
        <v>7</v>
      </c>
      <c r="L465" t="n">
        <v>1</v>
      </c>
      <c r="M465" t="n">
        <v>10.38331613828245</v>
      </c>
      <c r="N465">
        <f>D465/2</f>
        <v/>
      </c>
      <c r="O465">
        <f>N465+E465</f>
        <v/>
      </c>
      <c r="P465">
        <f>I465&lt;0.05</f>
        <v/>
      </c>
    </row>
    <row r="466">
      <c r="A466" t="inlineStr">
        <is>
          <t>FOODS_3_583</t>
        </is>
      </c>
      <c r="B466" t="n">
        <v>4.020585457972909</v>
      </c>
      <c r="C466" t="n">
        <v>28.14409820581036</v>
      </c>
      <c r="D466" t="n">
        <v>29</v>
      </c>
      <c r="E466" s="15" t="n">
        <v>4</v>
      </c>
      <c r="F466">
        <f>C466+E466</f>
        <v/>
      </c>
      <c r="G466" t="n">
        <v>3.855901794189634</v>
      </c>
      <c r="H466" t="n">
        <v>116</v>
      </c>
      <c r="I466">
        <f>IF(H466=0,0,G466/H466)</f>
        <v/>
      </c>
      <c r="J466" t="n">
        <v>1</v>
      </c>
      <c r="K466" t="n">
        <v>4</v>
      </c>
      <c r="L466" t="n">
        <v>1</v>
      </c>
      <c r="M466" t="n">
        <v>20.50093079721491</v>
      </c>
      <c r="N466">
        <f>D466/2</f>
        <v/>
      </c>
      <c r="O466">
        <f>N466+E466</f>
        <v/>
      </c>
      <c r="P466">
        <f>I466&lt;0.05</f>
        <v/>
      </c>
    </row>
    <row r="467">
      <c r="A467" t="inlineStr">
        <is>
          <t>FOODS_3_584</t>
        </is>
      </c>
      <c r="B467" t="n">
        <v>1.850236366277791</v>
      </c>
      <c r="C467" t="n">
        <v>12.95165456394453</v>
      </c>
      <c r="D467" t="n">
        <v>13</v>
      </c>
      <c r="E467" s="15" t="n">
        <v>14</v>
      </c>
      <c r="F467">
        <f>C467+E467</f>
        <v/>
      </c>
      <c r="G467" t="n">
        <v>3.048345436055467</v>
      </c>
      <c r="H467" t="n">
        <v>64</v>
      </c>
      <c r="I467">
        <f>IF(H467=0,0,G467/H467)</f>
        <v/>
      </c>
      <c r="J467" t="n">
        <v>2</v>
      </c>
      <c r="K467" t="n">
        <v>4</v>
      </c>
      <c r="L467" t="n">
        <v>1</v>
      </c>
      <c r="M467" t="n">
        <v>19.05070909883338</v>
      </c>
      <c r="N467">
        <f>D467/2</f>
        <v/>
      </c>
      <c r="O467">
        <f>N467+E467</f>
        <v/>
      </c>
      <c r="P467">
        <f>I467&lt;0.05</f>
        <v/>
      </c>
    </row>
    <row r="468">
      <c r="A468" t="inlineStr">
        <is>
          <t>FOODS_3_585</t>
        </is>
      </c>
      <c r="B468" t="n">
        <v>1.785608553210446</v>
      </c>
      <c r="C468" t="n">
        <v>12.49925987247312</v>
      </c>
      <c r="D468" t="n">
        <v>13</v>
      </c>
      <c r="E468" s="15" t="n">
        <v>3</v>
      </c>
      <c r="F468">
        <f>C468+E468</f>
        <v/>
      </c>
      <c r="G468" t="n">
        <v>2.50074012752688</v>
      </c>
      <c r="H468" t="n">
        <v>60</v>
      </c>
      <c r="I468">
        <f>IF(H468=0,0,G468/H468)</f>
        <v/>
      </c>
      <c r="J468" t="n">
        <v>1</v>
      </c>
      <c r="K468" t="n">
        <v>5</v>
      </c>
      <c r="L468" t="n">
        <v>1</v>
      </c>
      <c r="M468" t="n">
        <v>8.713968516774193</v>
      </c>
      <c r="N468">
        <f>D468/2</f>
        <v/>
      </c>
      <c r="O468">
        <f>N468+E468</f>
        <v/>
      </c>
      <c r="P468">
        <f>I468&lt;0.05</f>
        <v/>
      </c>
    </row>
    <row r="469">
      <c r="A469" t="inlineStr">
        <is>
          <t>FOODS_3_586</t>
        </is>
      </c>
      <c r="B469" t="n">
        <v>67.69352758540394</v>
      </c>
      <c r="C469" t="n">
        <v>473.8546930978276</v>
      </c>
      <c r="D469" t="n">
        <v>474</v>
      </c>
      <c r="E469" s="15" t="n">
        <v>0</v>
      </c>
      <c r="F469">
        <f>C469+E469</f>
        <v/>
      </c>
      <c r="G469" t="n">
        <v>20.14530690217242</v>
      </c>
      <c r="H469" t="n">
        <v>1883</v>
      </c>
      <c r="I469">
        <f>IF(H469=0,0,G469/H469)</f>
        <v/>
      </c>
      <c r="J469" t="n">
        <v>1</v>
      </c>
      <c r="K469" t="n">
        <v>4</v>
      </c>
      <c r="L469" t="n">
        <v>1</v>
      </c>
      <c r="M469" t="n">
        <v>242.2902913781059</v>
      </c>
      <c r="N469">
        <f>D469/2</f>
        <v/>
      </c>
      <c r="O469">
        <f>N469+E469</f>
        <v/>
      </c>
      <c r="P469">
        <f>I469&lt;0.05</f>
        <v/>
      </c>
    </row>
    <row r="470">
      <c r="A470" t="inlineStr">
        <is>
          <t>FOODS_3_587</t>
        </is>
      </c>
      <c r="B470" t="n">
        <v>30.86963968214218</v>
      </c>
      <c r="C470" t="n">
        <v>216.0874777749952</v>
      </c>
      <c r="D470" t="n">
        <v>217</v>
      </c>
      <c r="E470" s="15" t="n">
        <v>0</v>
      </c>
      <c r="F470">
        <f>C470+E470</f>
        <v/>
      </c>
      <c r="G470" t="n">
        <v>15.91252222500478</v>
      </c>
      <c r="H470" t="n">
        <v>876</v>
      </c>
      <c r="I470">
        <f>IF(H470=0,0,G470/H470)</f>
        <v/>
      </c>
      <c r="J470" t="n">
        <v>1</v>
      </c>
      <c r="K470" t="n">
        <v>4</v>
      </c>
      <c r="L470" t="n">
        <v>1</v>
      </c>
      <c r="M470" t="n">
        <v>103.0267698392823</v>
      </c>
      <c r="N470">
        <f>D470/2</f>
        <v/>
      </c>
      <c r="O470">
        <f>N470+E470</f>
        <v/>
      </c>
      <c r="P470">
        <f>I470&lt;0.05</f>
        <v/>
      </c>
    </row>
    <row r="471">
      <c r="A471" t="inlineStr">
        <is>
          <t>FOODS_3_588</t>
        </is>
      </c>
      <c r="B471" t="n">
        <v>2.048751840297041</v>
      </c>
      <c r="C471" t="n">
        <v>14.34126288207929</v>
      </c>
      <c r="D471" t="n">
        <v>15</v>
      </c>
      <c r="E471" s="15" t="n">
        <v>0</v>
      </c>
      <c r="F471">
        <f>C471+E471</f>
        <v/>
      </c>
      <c r="G471" t="n">
        <v>0.6587371179207082</v>
      </c>
      <c r="H471" t="n">
        <v>53</v>
      </c>
      <c r="I471">
        <f>IF(H471=0,0,G471/H471)</f>
        <v/>
      </c>
      <c r="J471" t="n">
        <v>1</v>
      </c>
      <c r="K471" t="n">
        <v>4</v>
      </c>
      <c r="L471" t="n">
        <v>1</v>
      </c>
      <c r="M471" t="n">
        <v>9.742060012468217</v>
      </c>
      <c r="N471">
        <f>D471/2</f>
        <v/>
      </c>
      <c r="O471">
        <f>N471+E471</f>
        <v/>
      </c>
      <c r="P471">
        <f>I471&lt;0.05</f>
        <v/>
      </c>
    </row>
    <row r="472">
      <c r="A472" t="inlineStr">
        <is>
          <t>FOODS_3_590</t>
        </is>
      </c>
      <c r="B472" t="n">
        <v>2.431674498438772</v>
      </c>
      <c r="C472" t="n">
        <v>17.0217214890714</v>
      </c>
      <c r="D472" t="n">
        <v>18</v>
      </c>
      <c r="E472" s="15" t="n">
        <v>2</v>
      </c>
      <c r="F472">
        <f>C472+E472</f>
        <v/>
      </c>
      <c r="G472" t="n">
        <v>2.978278510928597</v>
      </c>
      <c r="H472" t="n">
        <v>89</v>
      </c>
      <c r="I472">
        <f>IF(H472=0,0,G472/H472)</f>
        <v/>
      </c>
      <c r="J472" t="n">
        <v>2</v>
      </c>
      <c r="K472" t="n">
        <v>5</v>
      </c>
      <c r="L472" t="n">
        <v>2</v>
      </c>
      <c r="M472" t="n">
        <v>8.013963814403047</v>
      </c>
      <c r="N472">
        <f>D472/2</f>
        <v/>
      </c>
      <c r="O472">
        <f>N472+E472</f>
        <v/>
      </c>
      <c r="P472">
        <f>I472&lt;0.05</f>
        <v/>
      </c>
    </row>
    <row r="473">
      <c r="A473" t="inlineStr">
        <is>
          <t>FOODS_3_592</t>
        </is>
      </c>
      <c r="B473" t="n">
        <v>4.006715979437248</v>
      </c>
      <c r="C473" t="n">
        <v>28.04701185606073</v>
      </c>
      <c r="D473" t="n">
        <v>29</v>
      </c>
      <c r="E473" s="15" t="n">
        <v>0</v>
      </c>
      <c r="F473">
        <f>C473+E473</f>
        <v/>
      </c>
      <c r="G473" t="n">
        <v>0</v>
      </c>
      <c r="H473" t="n">
        <v>81</v>
      </c>
      <c r="I473">
        <f>IF(H473=0,0,G473/H473)</f>
        <v/>
      </c>
      <c r="J473" t="n">
        <v>0</v>
      </c>
      <c r="K473" t="n">
        <v>3</v>
      </c>
      <c r="L473" t="n">
        <v>0</v>
      </c>
      <c r="M473" t="n">
        <v>23.83272614177503</v>
      </c>
      <c r="N473">
        <f>D473/2</f>
        <v/>
      </c>
      <c r="O473">
        <f>N473+E473</f>
        <v/>
      </c>
      <c r="P473">
        <f>I473&lt;0.05</f>
        <v/>
      </c>
    </row>
    <row r="474">
      <c r="A474" t="inlineStr">
        <is>
          <t>FOODS_3_598</t>
        </is>
      </c>
      <c r="B474" t="n">
        <v>5.176111567639968</v>
      </c>
      <c r="C474" t="n">
        <v>36.23278097347978</v>
      </c>
      <c r="D474" t="n">
        <v>37</v>
      </c>
      <c r="E474" s="15" t="n">
        <v>8</v>
      </c>
      <c r="F474">
        <f>C474+E474</f>
        <v/>
      </c>
      <c r="G474" t="n">
        <v>6.767219026520223</v>
      </c>
      <c r="H474" t="n">
        <v>150</v>
      </c>
      <c r="I474">
        <f>IF(H474=0,0,G474/H474)</f>
        <v/>
      </c>
      <c r="J474" t="n">
        <v>2</v>
      </c>
      <c r="K474" t="n">
        <v>4</v>
      </c>
      <c r="L474" t="n">
        <v>2</v>
      </c>
      <c r="M474" t="n">
        <v>27.97845306574567</v>
      </c>
      <c r="N474">
        <f>D474/2</f>
        <v/>
      </c>
      <c r="O474">
        <f>N474+E474</f>
        <v/>
      </c>
      <c r="P474">
        <f>I474&lt;0.05</f>
        <v/>
      </c>
    </row>
    <row r="475">
      <c r="A475" t="inlineStr">
        <is>
          <t>FOODS_3_599</t>
        </is>
      </c>
      <c r="B475" t="n">
        <v>3.130226234903613</v>
      </c>
      <c r="C475" t="n">
        <v>21.91158364432529</v>
      </c>
      <c r="D475" t="n">
        <v>22</v>
      </c>
      <c r="E475" s="15" t="n">
        <v>10</v>
      </c>
      <c r="F475">
        <f>C475+E475</f>
        <v/>
      </c>
      <c r="G475" t="n">
        <v>6.088416355674713</v>
      </c>
      <c r="H475" t="n">
        <v>125</v>
      </c>
      <c r="I475">
        <f>IF(H475=0,0,G475/H475)</f>
        <v/>
      </c>
      <c r="J475" t="n">
        <v>1</v>
      </c>
      <c r="K475" t="n">
        <v>6</v>
      </c>
      <c r="L475" t="n">
        <v>1</v>
      </c>
      <c r="M475" t="n">
        <v>14.4810536380697</v>
      </c>
      <c r="N475">
        <f>D475/2</f>
        <v/>
      </c>
      <c r="O475">
        <f>N475+E475</f>
        <v/>
      </c>
      <c r="P475">
        <f>I475&lt;0.05</f>
        <v/>
      </c>
    </row>
    <row r="476">
      <c r="A476" t="inlineStr">
        <is>
          <t>FOODS_3_603</t>
        </is>
      </c>
      <c r="B476" t="n">
        <v>4.105248224183978</v>
      </c>
      <c r="C476" t="n">
        <v>28.73673756928784</v>
      </c>
      <c r="D476" t="n">
        <v>29</v>
      </c>
      <c r="E476" s="15" t="n">
        <v>0</v>
      </c>
      <c r="F476">
        <f>C476+E476</f>
        <v/>
      </c>
      <c r="G476" t="n">
        <v>2.263262430712157</v>
      </c>
      <c r="H476" t="n">
        <v>87</v>
      </c>
      <c r="I476">
        <f>IF(H476=0,0,G476/H476)</f>
        <v/>
      </c>
      <c r="J476" t="n">
        <v>1</v>
      </c>
      <c r="K476" t="n">
        <v>3</v>
      </c>
      <c r="L476" t="n">
        <v>1</v>
      </c>
      <c r="M476" t="n">
        <v>22.02062815716935</v>
      </c>
      <c r="N476">
        <f>D476/2</f>
        <v/>
      </c>
      <c r="O476">
        <f>N476+E476</f>
        <v/>
      </c>
      <c r="P476">
        <f>I476&lt;0.05</f>
        <v/>
      </c>
    </row>
    <row r="477">
      <c r="A477" t="inlineStr">
        <is>
          <t>FOODS_3_604</t>
        </is>
      </c>
      <c r="B477" t="n">
        <v>2.251188997736895</v>
      </c>
      <c r="C477" t="n">
        <v>15.75832298415826</v>
      </c>
      <c r="D477" t="n">
        <v>16</v>
      </c>
      <c r="E477" s="15" t="n">
        <v>1</v>
      </c>
      <c r="F477">
        <f>C477+E477</f>
        <v/>
      </c>
      <c r="G477" t="n">
        <v>0.2416770158417378</v>
      </c>
      <c r="H477" t="n">
        <v>72</v>
      </c>
      <c r="I477">
        <f>IF(H477=0,0,G477/H477)</f>
        <v/>
      </c>
      <c r="J477" t="n">
        <v>1</v>
      </c>
      <c r="K477" t="n">
        <v>5</v>
      </c>
      <c r="L477" t="n">
        <v>1</v>
      </c>
      <c r="M477" t="n">
        <v>8.965474712022608</v>
      </c>
      <c r="N477">
        <f>D477/2</f>
        <v/>
      </c>
      <c r="O477">
        <f>N477+E477</f>
        <v/>
      </c>
      <c r="P477">
        <f>I477&lt;0.05</f>
        <v/>
      </c>
    </row>
    <row r="478">
      <c r="A478" t="inlineStr">
        <is>
          <t>FOODS_3_607</t>
        </is>
      </c>
      <c r="B478" t="n">
        <v>13.30917256423374</v>
      </c>
      <c r="C478" t="n">
        <v>93.16420794963618</v>
      </c>
      <c r="D478" t="n">
        <v>94</v>
      </c>
      <c r="E478" s="15" t="n">
        <v>1</v>
      </c>
      <c r="F478">
        <f>C478+E478</f>
        <v/>
      </c>
      <c r="G478" t="n">
        <v>15.83579205036382</v>
      </c>
      <c r="H478" t="n">
        <v>414</v>
      </c>
      <c r="I478">
        <f>IF(H478=0,0,G478/H478)</f>
        <v/>
      </c>
      <c r="J478" t="n">
        <v>3</v>
      </c>
      <c r="K478" t="n">
        <v>5</v>
      </c>
      <c r="L478" t="n">
        <v>3</v>
      </c>
      <c r="M478" t="n">
        <v>45.97496111767524</v>
      </c>
      <c r="N478">
        <f>D478/2</f>
        <v/>
      </c>
      <c r="O478">
        <f>N478+E478</f>
        <v/>
      </c>
      <c r="P478">
        <f>I478&lt;0.05</f>
        <v/>
      </c>
    </row>
    <row r="479">
      <c r="A479" t="inlineStr">
        <is>
          <t>FOODS_3_609</t>
        </is>
      </c>
      <c r="B479" t="n">
        <v>2.967086680044608</v>
      </c>
      <c r="C479" t="n">
        <v>20.76960676031225</v>
      </c>
      <c r="D479" t="n">
        <v>21</v>
      </c>
      <c r="E479" s="15" t="n">
        <v>4</v>
      </c>
      <c r="F479">
        <f>C479+E479</f>
        <v/>
      </c>
      <c r="G479" t="n">
        <v>5.230393239687746</v>
      </c>
      <c r="H479" t="n">
        <v>106</v>
      </c>
      <c r="I479">
        <f>IF(H479=0,0,G479/H479)</f>
        <v/>
      </c>
      <c r="J479" t="n">
        <v>3</v>
      </c>
      <c r="K479" t="n">
        <v>5</v>
      </c>
      <c r="L479" t="n">
        <v>1</v>
      </c>
      <c r="M479" t="n">
        <v>11.96708668004461</v>
      </c>
      <c r="N479">
        <f>D479/2</f>
        <v/>
      </c>
      <c r="O479">
        <f>N479+E479</f>
        <v/>
      </c>
      <c r="P479">
        <f>I479&lt;0.05</f>
        <v/>
      </c>
    </row>
    <row r="480">
      <c r="A480" t="inlineStr">
        <is>
          <t>FOODS_3_610</t>
        </is>
      </c>
      <c r="B480" t="n">
        <v>2.272867262244872</v>
      </c>
      <c r="C480" t="n">
        <v>15.91007083571411</v>
      </c>
      <c r="D480" t="n">
        <v>16</v>
      </c>
      <c r="E480" s="15" t="n">
        <v>0</v>
      </c>
      <c r="F480">
        <f>C480+E480</f>
        <v/>
      </c>
      <c r="G480" t="n">
        <v>3.089929164285895</v>
      </c>
      <c r="H480" t="n">
        <v>67</v>
      </c>
      <c r="I480">
        <f>IF(H480=0,0,G480/H480)</f>
        <v/>
      </c>
      <c r="J480" t="n">
        <v>1</v>
      </c>
      <c r="K480" t="n">
        <v>4</v>
      </c>
      <c r="L480" t="n">
        <v>1</v>
      </c>
      <c r="M480" t="n">
        <v>8.270425448724312</v>
      </c>
      <c r="N480">
        <f>D480/2</f>
        <v/>
      </c>
      <c r="O480">
        <f>N480+E480</f>
        <v/>
      </c>
      <c r="P480">
        <f>I480&lt;0.05</f>
        <v/>
      </c>
    </row>
    <row r="481">
      <c r="A481" t="inlineStr">
        <is>
          <t>FOODS_3_617</t>
        </is>
      </c>
      <c r="B481" t="n">
        <v>3.520873342990112</v>
      </c>
      <c r="C481" t="n">
        <v>24.64611340093079</v>
      </c>
      <c r="D481" t="n">
        <v>25</v>
      </c>
      <c r="E481" s="15" t="n">
        <v>3</v>
      </c>
      <c r="F481">
        <f>C481+E481</f>
        <v/>
      </c>
      <c r="G481" t="n">
        <v>4.353886599069213</v>
      </c>
      <c r="H481" t="n">
        <v>107</v>
      </c>
      <c r="I481">
        <f>IF(H481=0,0,G481/H481)</f>
        <v/>
      </c>
      <c r="J481" t="n">
        <v>2</v>
      </c>
      <c r="K481" t="n">
        <v>5</v>
      </c>
      <c r="L481" t="n">
        <v>2</v>
      </c>
      <c r="M481" t="n">
        <v>13.53131001448517</v>
      </c>
      <c r="N481">
        <f>D481/2</f>
        <v/>
      </c>
      <c r="O481">
        <f>N481+E481</f>
        <v/>
      </c>
      <c r="P481">
        <f>I481&lt;0.05</f>
        <v/>
      </c>
    </row>
    <row r="482">
      <c r="A482" t="inlineStr">
        <is>
          <t>FOODS_3_618</t>
        </is>
      </c>
      <c r="B482" t="n">
        <v>4.028218376653452</v>
      </c>
      <c r="C482" t="n">
        <v>28.19752863657417</v>
      </c>
      <c r="D482" t="n">
        <v>29</v>
      </c>
      <c r="E482" s="15" t="n">
        <v>0</v>
      </c>
      <c r="F482">
        <f>C482+E482</f>
        <v/>
      </c>
      <c r="G482" t="n">
        <v>0</v>
      </c>
      <c r="H482" t="n">
        <v>58</v>
      </c>
      <c r="I482">
        <f>IF(H482=0,0,G482/H482)</f>
        <v/>
      </c>
      <c r="J482" t="n">
        <v>0</v>
      </c>
      <c r="K482" t="n">
        <v>3</v>
      </c>
      <c r="L482" t="n">
        <v>0</v>
      </c>
      <c r="M482" t="n">
        <v>26.41181435085986</v>
      </c>
      <c r="N482">
        <f>D482/2</f>
        <v/>
      </c>
      <c r="O482">
        <f>N482+E482</f>
        <v/>
      </c>
      <c r="P482">
        <f>I482&lt;0.05</f>
        <v/>
      </c>
    </row>
    <row r="483">
      <c r="A483" t="inlineStr">
        <is>
          <t>FOODS_3_621</t>
        </is>
      </c>
      <c r="B483" t="n">
        <v>2.738999402781109</v>
      </c>
      <c r="C483" t="n">
        <v>19.17299581946776</v>
      </c>
      <c r="D483" t="n">
        <v>20</v>
      </c>
      <c r="E483" s="15" t="n">
        <v>0</v>
      </c>
      <c r="F483">
        <f>C483+E483</f>
        <v/>
      </c>
      <c r="G483" t="n">
        <v>0</v>
      </c>
      <c r="H483" t="n">
        <v>52</v>
      </c>
      <c r="I483">
        <f>IF(H483=0,0,G483/H483)</f>
        <v/>
      </c>
      <c r="J483" t="n">
        <v>0</v>
      </c>
      <c r="K483" t="n">
        <v>3</v>
      </c>
      <c r="L483" t="n">
        <v>0</v>
      </c>
      <c r="M483" t="n">
        <v>15.3158529623249</v>
      </c>
      <c r="N483">
        <f>D483/2</f>
        <v/>
      </c>
      <c r="O483">
        <f>N483+E483</f>
        <v/>
      </c>
      <c r="P483">
        <f>I483&lt;0.05</f>
        <v/>
      </c>
    </row>
    <row r="484">
      <c r="A484" t="inlineStr">
        <is>
          <t>FOODS_3_628</t>
        </is>
      </c>
      <c r="B484" t="n">
        <v>4.283407081498363</v>
      </c>
      <c r="C484" t="n">
        <v>29.98384957048854</v>
      </c>
      <c r="D484" t="n">
        <v>30</v>
      </c>
      <c r="E484" s="15" t="n">
        <v>3</v>
      </c>
      <c r="F484">
        <f>C484+E484</f>
        <v/>
      </c>
      <c r="G484" t="n">
        <v>0</v>
      </c>
      <c r="H484" t="n">
        <v>133</v>
      </c>
      <c r="I484">
        <f>IF(H484=0,0,G484/H484)</f>
        <v/>
      </c>
      <c r="J484" t="n">
        <v>0</v>
      </c>
      <c r="K484" t="n">
        <v>5</v>
      </c>
      <c r="L484" t="n">
        <v>0</v>
      </c>
      <c r="M484" t="n">
        <v>17.19813528477425</v>
      </c>
      <c r="N484">
        <f>D484/2</f>
        <v/>
      </c>
      <c r="O484">
        <f>N484+E484</f>
        <v/>
      </c>
      <c r="P484">
        <f>I484&lt;0.05</f>
        <v/>
      </c>
    </row>
    <row r="485">
      <c r="A485" t="inlineStr">
        <is>
          <t>FOODS_3_632</t>
        </is>
      </c>
      <c r="B485" t="n">
        <v>3.022236829991194</v>
      </c>
      <c r="C485" t="n">
        <v>21.15565780993836</v>
      </c>
      <c r="D485" t="n">
        <v>22</v>
      </c>
      <c r="E485" s="15" t="n">
        <v>2</v>
      </c>
      <c r="F485">
        <f>C485+E485</f>
        <v/>
      </c>
      <c r="G485" t="n">
        <v>3.844342190061642</v>
      </c>
      <c r="H485" t="n">
        <v>84</v>
      </c>
      <c r="I485">
        <f>IF(H485=0,0,G485/H485)</f>
        <v/>
      </c>
      <c r="J485" t="n">
        <v>2</v>
      </c>
      <c r="K485" t="n">
        <v>4</v>
      </c>
      <c r="L485" t="n">
        <v>1</v>
      </c>
      <c r="M485" t="n">
        <v>14.75404129281311</v>
      </c>
      <c r="N485">
        <f>D485/2</f>
        <v/>
      </c>
      <c r="O485">
        <f>N485+E485</f>
        <v/>
      </c>
      <c r="P485">
        <f>I485&lt;0.05</f>
        <v/>
      </c>
    </row>
    <row r="486">
      <c r="A486" t="inlineStr">
        <is>
          <t>FOODS_3_634</t>
        </is>
      </c>
      <c r="B486" t="n">
        <v>4.048938787889371</v>
      </c>
      <c r="C486" t="n">
        <v>28.3425715152256</v>
      </c>
      <c r="D486" t="n">
        <v>29</v>
      </c>
      <c r="E486" s="15" t="n">
        <v>0</v>
      </c>
      <c r="F486">
        <f>C486+E486</f>
        <v/>
      </c>
      <c r="G486" t="n">
        <v>0.6574284847743996</v>
      </c>
      <c r="H486" t="n">
        <v>113</v>
      </c>
      <c r="I486">
        <f>IF(H486=0,0,G486/H486)</f>
        <v/>
      </c>
      <c r="J486" t="n">
        <v>1</v>
      </c>
      <c r="K486" t="n">
        <v>4</v>
      </c>
      <c r="L486" t="n">
        <v>1</v>
      </c>
      <c r="M486" t="n">
        <v>13.89483675326263</v>
      </c>
      <c r="N486">
        <f>D486/2</f>
        <v/>
      </c>
      <c r="O486">
        <f>N486+E486</f>
        <v/>
      </c>
      <c r="P486">
        <f>I486&lt;0.05</f>
        <v/>
      </c>
    </row>
    <row r="487">
      <c r="A487" t="inlineStr">
        <is>
          <t>FOODS_3_636</t>
        </is>
      </c>
      <c r="B487" t="n">
        <v>5.353632330163593</v>
      </c>
      <c r="C487" t="n">
        <v>37.47542631114515</v>
      </c>
      <c r="D487" t="n">
        <v>38</v>
      </c>
      <c r="E487" s="15" t="n">
        <v>3</v>
      </c>
      <c r="F487">
        <f>C487+E487</f>
        <v/>
      </c>
      <c r="G487" t="n">
        <v>5.524573688854851</v>
      </c>
      <c r="H487" t="n">
        <v>166</v>
      </c>
      <c r="I487">
        <f>IF(H487=0,0,G487/H487)</f>
        <v/>
      </c>
      <c r="J487" t="n">
        <v>2</v>
      </c>
      <c r="K487" t="n">
        <v>5</v>
      </c>
      <c r="L487" t="n">
        <v>1</v>
      </c>
      <c r="M487" t="n">
        <v>19.95199886985829</v>
      </c>
      <c r="N487">
        <f>D487/2</f>
        <v/>
      </c>
      <c r="O487">
        <f>N487+E487</f>
        <v/>
      </c>
      <c r="P487">
        <f>I487&lt;0.05</f>
        <v/>
      </c>
    </row>
    <row r="488">
      <c r="A488" t="inlineStr">
        <is>
          <t>FOODS_3_638</t>
        </is>
      </c>
      <c r="B488" t="n">
        <v>4.582891126357483</v>
      </c>
      <c r="C488" t="n">
        <v>32.08023788450238</v>
      </c>
      <c r="D488" t="n">
        <v>33</v>
      </c>
      <c r="E488" s="15" t="n">
        <v>0</v>
      </c>
      <c r="F488">
        <f>C488+E488</f>
        <v/>
      </c>
      <c r="G488" t="n">
        <v>0.919762115497619</v>
      </c>
      <c r="H488" t="n">
        <v>127</v>
      </c>
      <c r="I488">
        <f>IF(H488=0,0,G488/H488)</f>
        <v/>
      </c>
      <c r="J488" t="n">
        <v>1</v>
      </c>
      <c r="K488" t="n">
        <v>4</v>
      </c>
      <c r="L488" t="n">
        <v>1</v>
      </c>
      <c r="M488" t="n">
        <v>17.21582473209039</v>
      </c>
      <c r="N488">
        <f>D488/2</f>
        <v/>
      </c>
      <c r="O488">
        <f>N488+E488</f>
        <v/>
      </c>
      <c r="P488">
        <f>I488&lt;0.05</f>
        <v/>
      </c>
    </row>
    <row r="489">
      <c r="A489" t="inlineStr">
        <is>
          <t>FOODS_3_639</t>
        </is>
      </c>
      <c r="B489" t="n">
        <v>2.147927123789276</v>
      </c>
      <c r="C489" t="n">
        <v>15.03548986652493</v>
      </c>
      <c r="D489" t="n">
        <v>16</v>
      </c>
      <c r="E489" s="15" t="n">
        <v>2</v>
      </c>
      <c r="F489">
        <f>C489+E489</f>
        <v/>
      </c>
      <c r="G489" t="n">
        <v>2.964510133475066</v>
      </c>
      <c r="H489" t="n">
        <v>63</v>
      </c>
      <c r="I489">
        <f>IF(H489=0,0,G489/H489)</f>
        <v/>
      </c>
      <c r="J489" t="n">
        <v>1</v>
      </c>
      <c r="K489" t="n">
        <v>4</v>
      </c>
      <c r="L489" t="n">
        <v>1</v>
      </c>
      <c r="M489" t="n">
        <v>10.91440456181871</v>
      </c>
      <c r="N489">
        <f>D489/2</f>
        <v/>
      </c>
      <c r="O489">
        <f>N489+E489</f>
        <v/>
      </c>
      <c r="P489">
        <f>I489&lt;0.05</f>
        <v/>
      </c>
    </row>
    <row r="490">
      <c r="A490" t="inlineStr">
        <is>
          <t>FOODS_3_646</t>
        </is>
      </c>
      <c r="B490" t="n">
        <v>2.189380698611002</v>
      </c>
      <c r="C490" t="n">
        <v>15.32566489027702</v>
      </c>
      <c r="D490" t="n">
        <v>16</v>
      </c>
      <c r="E490" s="15" t="n">
        <v>7</v>
      </c>
      <c r="F490">
        <f>C490+E490</f>
        <v/>
      </c>
      <c r="G490" t="n">
        <v>2.674335109722982</v>
      </c>
      <c r="H490" t="n">
        <v>72</v>
      </c>
      <c r="I490">
        <f>IF(H490=0,0,G490/H490)</f>
        <v/>
      </c>
      <c r="J490" t="n">
        <v>1</v>
      </c>
      <c r="K490" t="n">
        <v>5</v>
      </c>
      <c r="L490" t="n">
        <v>1</v>
      </c>
      <c r="M490" t="n">
        <v>12.97098688983083</v>
      </c>
      <c r="N490">
        <f>D490/2</f>
        <v/>
      </c>
      <c r="O490">
        <f>N490+E490</f>
        <v/>
      </c>
      <c r="P490">
        <f>I490&lt;0.05</f>
        <v/>
      </c>
    </row>
    <row r="491">
      <c r="A491" t="inlineStr">
        <is>
          <t>FOODS_3_648</t>
        </is>
      </c>
      <c r="B491" t="n">
        <v>2.244430102370242</v>
      </c>
      <c r="C491" t="n">
        <v>15.71101071659169</v>
      </c>
      <c r="D491" t="n">
        <v>16</v>
      </c>
      <c r="E491" s="15" t="n">
        <v>0</v>
      </c>
      <c r="F491">
        <f>C491+E491</f>
        <v/>
      </c>
      <c r="G491" t="n">
        <v>0.2889892834083057</v>
      </c>
      <c r="H491" t="n">
        <v>50</v>
      </c>
      <c r="I491">
        <f>IF(H491=0,0,G491/H491)</f>
        <v/>
      </c>
      <c r="J491" t="n">
        <v>1</v>
      </c>
      <c r="K491" t="n">
        <v>4</v>
      </c>
      <c r="L491" t="n">
        <v>1</v>
      </c>
      <c r="M491" t="n">
        <v>9.69757602139644</v>
      </c>
      <c r="N491">
        <f>D491/2</f>
        <v/>
      </c>
      <c r="O491">
        <f>N491+E491</f>
        <v/>
      </c>
      <c r="P491">
        <f>I491&lt;0.05</f>
        <v/>
      </c>
    </row>
    <row r="492">
      <c r="A492" t="inlineStr">
        <is>
          <t>FOODS_3_651</t>
        </is>
      </c>
      <c r="B492" t="n">
        <v>4.652630001285554</v>
      </c>
      <c r="C492" t="n">
        <v>32.56841000899888</v>
      </c>
      <c r="D492" t="n">
        <v>33</v>
      </c>
      <c r="E492" s="15" t="n">
        <v>0</v>
      </c>
      <c r="F492">
        <f>C492+E492</f>
        <v/>
      </c>
      <c r="G492" t="n">
        <v>0</v>
      </c>
      <c r="H492" t="n">
        <v>75</v>
      </c>
      <c r="I492">
        <f>IF(H492=0,0,G492/H492)</f>
        <v/>
      </c>
      <c r="J492" t="n">
        <v>0</v>
      </c>
      <c r="K492" t="n">
        <v>3</v>
      </c>
      <c r="L492" t="n">
        <v>0</v>
      </c>
      <c r="M492" t="n">
        <v>29.60412429471315</v>
      </c>
      <c r="N492">
        <f>D492/2</f>
        <v/>
      </c>
      <c r="O492">
        <f>N492+E492</f>
        <v/>
      </c>
      <c r="P492">
        <f>I492&lt;0.05</f>
        <v/>
      </c>
    </row>
    <row r="493">
      <c r="A493" t="inlineStr">
        <is>
          <t>FOODS_3_652</t>
        </is>
      </c>
      <c r="B493" t="n">
        <v>5.299404990940502</v>
      </c>
      <c r="C493" t="n">
        <v>37.09583493658351</v>
      </c>
      <c r="D493" t="n">
        <v>38</v>
      </c>
      <c r="E493" s="15" t="n">
        <v>8</v>
      </c>
      <c r="F493">
        <f>C493+E493</f>
        <v/>
      </c>
      <c r="G493" t="n">
        <v>6.904165063416485</v>
      </c>
      <c r="H493" t="n">
        <v>153</v>
      </c>
      <c r="I493">
        <f>IF(H493=0,0,G493/H493)</f>
        <v/>
      </c>
      <c r="J493" t="n">
        <v>1</v>
      </c>
      <c r="K493" t="n">
        <v>4</v>
      </c>
      <c r="L493" t="n">
        <v>1</v>
      </c>
      <c r="M493" t="n">
        <v>26.11592336341377</v>
      </c>
      <c r="N493">
        <f>D493/2</f>
        <v/>
      </c>
      <c r="O493">
        <f>N493+E493</f>
        <v/>
      </c>
      <c r="P493">
        <f>I493&lt;0.05</f>
        <v/>
      </c>
    </row>
    <row r="494">
      <c r="A494" t="inlineStr">
        <is>
          <t>FOODS_3_653</t>
        </is>
      </c>
      <c r="B494" t="n">
        <v>2.041889106894113</v>
      </c>
      <c r="C494" t="n">
        <v>14.29322374825879</v>
      </c>
      <c r="D494" t="n">
        <v>15</v>
      </c>
      <c r="E494" s="15" t="n">
        <v>3</v>
      </c>
      <c r="F494">
        <f>C494+E494</f>
        <v/>
      </c>
      <c r="G494" t="n">
        <v>2.706776251741211</v>
      </c>
      <c r="H494" t="n">
        <v>57</v>
      </c>
      <c r="I494">
        <f>IF(H494=0,0,G494/H494)</f>
        <v/>
      </c>
      <c r="J494" t="n">
        <v>1</v>
      </c>
      <c r="K494" t="n">
        <v>4</v>
      </c>
      <c r="L494" t="n">
        <v>1</v>
      </c>
      <c r="M494" t="n">
        <v>9.741405088912598</v>
      </c>
      <c r="N494">
        <f>D494/2</f>
        <v/>
      </c>
      <c r="O494">
        <f>N494+E494</f>
        <v/>
      </c>
      <c r="P494">
        <f>I494&lt;0.05</f>
        <v/>
      </c>
    </row>
    <row r="495">
      <c r="A495" t="inlineStr">
        <is>
          <t>FOODS_3_654</t>
        </is>
      </c>
      <c r="B495" t="n">
        <v>7.920294544505254</v>
      </c>
      <c r="C495" t="n">
        <v>55.44206181153678</v>
      </c>
      <c r="D495" t="n">
        <v>56</v>
      </c>
      <c r="E495" s="15" t="n">
        <v>0</v>
      </c>
      <c r="F495">
        <f>C495+E495</f>
        <v/>
      </c>
      <c r="G495" t="n">
        <v>0</v>
      </c>
      <c r="H495" t="n">
        <v>173</v>
      </c>
      <c r="I495">
        <f>IF(H495=0,0,G495/H495)</f>
        <v/>
      </c>
      <c r="J495" t="n">
        <v>0</v>
      </c>
      <c r="K495" t="n">
        <v>4</v>
      </c>
      <c r="L495" t="n">
        <v>0</v>
      </c>
      <c r="M495" t="n">
        <v>43.44206181153677</v>
      </c>
      <c r="N495">
        <f>D495/2</f>
        <v/>
      </c>
      <c r="O495">
        <f>N495+E495</f>
        <v/>
      </c>
      <c r="P495">
        <f>I495&lt;0.05</f>
        <v/>
      </c>
    </row>
    <row r="496">
      <c r="A496" t="inlineStr">
        <is>
          <t>FOODS_3_655</t>
        </is>
      </c>
      <c r="B496" t="n">
        <v>1.789976498645604</v>
      </c>
      <c r="C496" t="n">
        <v>12.52983549051923</v>
      </c>
      <c r="D496" t="n">
        <v>13</v>
      </c>
      <c r="E496" s="15" t="n">
        <v>6</v>
      </c>
      <c r="F496">
        <f>C496+E496</f>
        <v/>
      </c>
      <c r="G496" t="n">
        <v>2.470164509480767</v>
      </c>
      <c r="H496" t="n">
        <v>60</v>
      </c>
      <c r="I496">
        <f>IF(H496=0,0,G496/H496)</f>
        <v/>
      </c>
      <c r="J496" t="n">
        <v>2</v>
      </c>
      <c r="K496" t="n">
        <v>5</v>
      </c>
      <c r="L496" t="n">
        <v>1</v>
      </c>
      <c r="M496" t="n">
        <v>10.08021025939218</v>
      </c>
      <c r="N496">
        <f>D496/2</f>
        <v/>
      </c>
      <c r="O496">
        <f>N496+E496</f>
        <v/>
      </c>
      <c r="P496">
        <f>I496&lt;0.05</f>
        <v/>
      </c>
    </row>
    <row r="497">
      <c r="A497" t="inlineStr">
        <is>
          <t>FOODS_3_661</t>
        </is>
      </c>
      <c r="B497" t="n">
        <v>6.956872395188476</v>
      </c>
      <c r="C497" t="n">
        <v>48.69810676631933</v>
      </c>
      <c r="D497" t="n">
        <v>49</v>
      </c>
      <c r="E497" s="15" t="n">
        <v>1</v>
      </c>
      <c r="F497">
        <f>C497+E497</f>
        <v/>
      </c>
      <c r="G497" t="n">
        <v>6.301893233680666</v>
      </c>
      <c r="H497" t="n">
        <v>203</v>
      </c>
      <c r="I497">
        <f>IF(H497=0,0,G497/H497)</f>
        <v/>
      </c>
      <c r="J497" t="n">
        <v>1</v>
      </c>
      <c r="K497" t="n">
        <v>5</v>
      </c>
      <c r="L497" t="n">
        <v>1</v>
      </c>
      <c r="M497" t="n">
        <v>24.57816573563986</v>
      </c>
      <c r="N497">
        <f>D497/2</f>
        <v/>
      </c>
      <c r="O497">
        <f>N497+E497</f>
        <v/>
      </c>
      <c r="P497">
        <f>I497&lt;0.05</f>
        <v/>
      </c>
    </row>
    <row r="498">
      <c r="A498" t="inlineStr">
        <is>
          <t>FOODS_3_664</t>
        </is>
      </c>
      <c r="B498" t="n">
        <v>1.834052997854765</v>
      </c>
      <c r="C498" t="n">
        <v>12.83837098498335</v>
      </c>
      <c r="D498" t="n">
        <v>13</v>
      </c>
      <c r="E498" s="15" t="n">
        <v>90</v>
      </c>
      <c r="F498">
        <f>C498+E498</f>
        <v/>
      </c>
      <c r="G498" t="n">
        <v>14.16162901501664</v>
      </c>
      <c r="H498" t="n">
        <v>286</v>
      </c>
      <c r="I498">
        <f>IF(H498=0,0,G498/H498)</f>
        <v/>
      </c>
      <c r="J498" t="n">
        <v>2</v>
      </c>
      <c r="K498" t="n">
        <v>18</v>
      </c>
      <c r="L498" t="n">
        <v>2</v>
      </c>
      <c r="M498" t="n">
        <v>46.33729148820122</v>
      </c>
      <c r="N498">
        <f>D498/2</f>
        <v/>
      </c>
      <c r="O498">
        <f>N498+E498</f>
        <v/>
      </c>
      <c r="P498">
        <f>I498&lt;0.05</f>
        <v/>
      </c>
    </row>
    <row r="499">
      <c r="A499" t="inlineStr">
        <is>
          <t>FOODS_3_665</t>
        </is>
      </c>
      <c r="B499" t="n">
        <v>2.379995334290395</v>
      </c>
      <c r="C499" t="n">
        <v>16.65996734003276</v>
      </c>
      <c r="D499" t="n">
        <v>17</v>
      </c>
      <c r="E499" s="15" t="n">
        <v>0</v>
      </c>
      <c r="F499">
        <f>C499+E499</f>
        <v/>
      </c>
      <c r="G499" t="n">
        <v>1.340032659967239</v>
      </c>
      <c r="H499" t="n">
        <v>68</v>
      </c>
      <c r="I499">
        <f>IF(H499=0,0,G499/H499)</f>
        <v/>
      </c>
      <c r="J499" t="n">
        <v>2</v>
      </c>
      <c r="K499" t="n">
        <v>4</v>
      </c>
      <c r="L499" t="n">
        <v>1</v>
      </c>
      <c r="M499" t="n">
        <v>7.961414574299757</v>
      </c>
      <c r="N499">
        <f>D499/2</f>
        <v/>
      </c>
      <c r="O499">
        <f>N499+E499</f>
        <v/>
      </c>
      <c r="P499">
        <f>I499&lt;0.05</f>
        <v/>
      </c>
    </row>
    <row r="500">
      <c r="A500" t="inlineStr">
        <is>
          <t>FOODS_3_666</t>
        </is>
      </c>
      <c r="B500" t="n">
        <v>0.9959408689639152</v>
      </c>
      <c r="C500" t="n">
        <v>6.971586082747407</v>
      </c>
      <c r="D500" t="n">
        <v>7</v>
      </c>
      <c r="E500" s="15" t="n">
        <v>8</v>
      </c>
      <c r="F500">
        <f>C500+E500</f>
        <v/>
      </c>
      <c r="G500" t="n">
        <v>0.02841391725259257</v>
      </c>
      <c r="H500" t="n">
        <v>54</v>
      </c>
      <c r="I500">
        <f>IF(H500=0,0,G500/H500)</f>
        <v/>
      </c>
      <c r="J500" t="n">
        <v>1</v>
      </c>
      <c r="K500" t="n">
        <v>8</v>
      </c>
      <c r="L500" t="n">
        <v>1</v>
      </c>
      <c r="M500" t="n">
        <v>5.640827577339101</v>
      </c>
      <c r="N500">
        <f>D500/2</f>
        <v/>
      </c>
      <c r="O500">
        <f>N500+E500</f>
        <v/>
      </c>
      <c r="P500">
        <f>I500&lt;0.05</f>
        <v/>
      </c>
    </row>
    <row r="501">
      <c r="A501" t="inlineStr">
        <is>
          <t>FOODS_3_668</t>
        </is>
      </c>
      <c r="B501" t="n">
        <v>6.532740342535102</v>
      </c>
      <c r="C501" t="n">
        <v>45.72918239774572</v>
      </c>
      <c r="D501" t="n">
        <v>46</v>
      </c>
      <c r="E501" s="15" t="n">
        <v>1</v>
      </c>
      <c r="F501">
        <f>C501+E501</f>
        <v/>
      </c>
      <c r="G501" t="n">
        <v>6.270817602254283</v>
      </c>
      <c r="H501" t="n">
        <v>209</v>
      </c>
      <c r="I501">
        <f>IF(H501=0,0,G501/H501)</f>
        <v/>
      </c>
      <c r="J501" t="n">
        <v>2</v>
      </c>
      <c r="K501" t="n">
        <v>5</v>
      </c>
      <c r="L501" t="n">
        <v>2</v>
      </c>
      <c r="M501" t="n">
        <v>18.54911051380265</v>
      </c>
      <c r="N501">
        <f>D501/2</f>
        <v/>
      </c>
      <c r="O501">
        <f>N501+E501</f>
        <v/>
      </c>
      <c r="P501">
        <f>I501&lt;0.05</f>
        <v/>
      </c>
    </row>
    <row r="502">
      <c r="A502" t="inlineStr">
        <is>
          <t>FOODS_3_669</t>
        </is>
      </c>
      <c r="B502" t="n">
        <v>1.993932727501751</v>
      </c>
      <c r="C502" t="n">
        <v>13.95752909251225</v>
      </c>
      <c r="D502" t="n">
        <v>14</v>
      </c>
      <c r="E502" s="15" t="n">
        <v>7</v>
      </c>
      <c r="F502">
        <f>C502+E502</f>
        <v/>
      </c>
      <c r="G502" t="n">
        <v>3.042470907487747</v>
      </c>
      <c r="H502" t="n">
        <v>69</v>
      </c>
      <c r="I502">
        <f>IF(H502=0,0,G502/H502)</f>
        <v/>
      </c>
      <c r="J502" t="n">
        <v>2</v>
      </c>
      <c r="K502" t="n">
        <v>5</v>
      </c>
      <c r="L502" t="n">
        <v>2</v>
      </c>
      <c r="M502" t="n">
        <v>11.72876454625613</v>
      </c>
      <c r="N502">
        <f>D502/2</f>
        <v/>
      </c>
      <c r="O502">
        <f>N502+E502</f>
        <v/>
      </c>
      <c r="P502">
        <f>I502&lt;0.05</f>
        <v/>
      </c>
    </row>
    <row r="503">
      <c r="A503" t="inlineStr">
        <is>
          <t>FOODS_3_672</t>
        </is>
      </c>
      <c r="B503" t="n">
        <v>2.768451836237233</v>
      </c>
      <c r="C503" t="n">
        <v>19.37916285366063</v>
      </c>
      <c r="D503" t="n">
        <v>20</v>
      </c>
      <c r="E503" s="15" t="n">
        <v>2</v>
      </c>
      <c r="F503">
        <f>C503+E503</f>
        <v/>
      </c>
      <c r="G503" t="n">
        <v>2.620837146339369</v>
      </c>
      <c r="H503" t="n">
        <v>57</v>
      </c>
      <c r="I503">
        <f>IF(H503=0,0,G503/H503)</f>
        <v/>
      </c>
      <c r="J503" t="n">
        <v>2</v>
      </c>
      <c r="K503" t="n">
        <v>3</v>
      </c>
      <c r="L503" t="n">
        <v>1</v>
      </c>
      <c r="M503" t="n">
        <v>18.81517612021041</v>
      </c>
      <c r="N503">
        <f>D503/2</f>
        <v/>
      </c>
      <c r="O503">
        <f>N503+E503</f>
        <v/>
      </c>
      <c r="P503">
        <f>I503&lt;0.05</f>
        <v/>
      </c>
    </row>
    <row r="504">
      <c r="A504" t="inlineStr">
        <is>
          <t>FOODS_3_674</t>
        </is>
      </c>
      <c r="B504" t="n">
        <v>3.348977011058848</v>
      </c>
      <c r="C504" t="n">
        <v>23.44283907741194</v>
      </c>
      <c r="D504" t="n">
        <v>24</v>
      </c>
      <c r="E504" s="15" t="n">
        <v>0</v>
      </c>
      <c r="F504">
        <f>C504+E504</f>
        <v/>
      </c>
      <c r="G504" t="n">
        <v>0</v>
      </c>
      <c r="H504" t="n">
        <v>50</v>
      </c>
      <c r="I504">
        <f>IF(H504=0,0,G504/H504)</f>
        <v/>
      </c>
      <c r="J504" t="n">
        <v>0</v>
      </c>
      <c r="K504" t="n">
        <v>3</v>
      </c>
      <c r="L504" t="n">
        <v>0</v>
      </c>
      <c r="M504" t="n">
        <v>24.54998193455478</v>
      </c>
      <c r="N504">
        <f>D504/2</f>
        <v/>
      </c>
      <c r="O504">
        <f>N504+E504</f>
        <v/>
      </c>
      <c r="P504">
        <f>I504&lt;0.05</f>
        <v/>
      </c>
    </row>
    <row r="505">
      <c r="A505" t="inlineStr">
        <is>
          <t>FOODS_3_675</t>
        </is>
      </c>
      <c r="B505" t="n">
        <v>2.006852166496417</v>
      </c>
      <c r="C505" t="n">
        <v>14.04796516547492</v>
      </c>
      <c r="D505" t="n">
        <v>15</v>
      </c>
      <c r="E505" s="15" t="n">
        <v>7</v>
      </c>
      <c r="F505">
        <f>C505+E505</f>
        <v/>
      </c>
      <c r="G505" t="n">
        <v>2.95203483452508</v>
      </c>
      <c r="H505" t="n">
        <v>79</v>
      </c>
      <c r="I505">
        <f>IF(H505=0,0,G505/H505)</f>
        <v/>
      </c>
      <c r="J505" t="n">
        <v>1</v>
      </c>
      <c r="K505" t="n">
        <v>6</v>
      </c>
      <c r="L505" t="n">
        <v>1</v>
      </c>
      <c r="M505" t="n">
        <v>10.43397014183565</v>
      </c>
      <c r="N505">
        <f>D505/2</f>
        <v/>
      </c>
      <c r="O505">
        <f>N505+E505</f>
        <v/>
      </c>
      <c r="P505">
        <f>I505&lt;0.05</f>
        <v/>
      </c>
    </row>
    <row r="506">
      <c r="A506" t="inlineStr">
        <is>
          <t>FOODS_3_679</t>
        </is>
      </c>
      <c r="B506" t="n">
        <v>2.476515985518204</v>
      </c>
      <c r="C506" t="n">
        <v>17.33561189862743</v>
      </c>
      <c r="D506" t="n">
        <v>18</v>
      </c>
      <c r="E506" s="15" t="n">
        <v>0</v>
      </c>
      <c r="F506">
        <f>C506+E506</f>
        <v/>
      </c>
      <c r="G506" t="n">
        <v>0</v>
      </c>
      <c r="H506" t="n">
        <v>52</v>
      </c>
      <c r="I506">
        <f>IF(H506=0,0,G506/H506)</f>
        <v/>
      </c>
      <c r="J506" t="n">
        <v>0</v>
      </c>
      <c r="K506" t="n">
        <v>3</v>
      </c>
      <c r="L506" t="n">
        <v>0</v>
      </c>
      <c r="M506" t="n">
        <v>13.58561189862742</v>
      </c>
      <c r="N506">
        <f>D506/2</f>
        <v/>
      </c>
      <c r="O506">
        <f>N506+E506</f>
        <v/>
      </c>
      <c r="P506">
        <f>I506&lt;0.05</f>
        <v/>
      </c>
    </row>
    <row r="507">
      <c r="A507" t="inlineStr">
        <is>
          <t>FOODS_3_681</t>
        </is>
      </c>
      <c r="B507" t="n">
        <v>32.82806758375782</v>
      </c>
      <c r="C507" t="n">
        <v>229.7964730863048</v>
      </c>
      <c r="D507" t="n">
        <v>230</v>
      </c>
      <c r="E507" s="15" t="n">
        <v>193</v>
      </c>
      <c r="F507">
        <f>C507+E507</f>
        <v/>
      </c>
      <c r="G507" t="n">
        <v>62.20352691369521</v>
      </c>
      <c r="H507" t="n">
        <v>1253</v>
      </c>
      <c r="I507">
        <f>IF(H507=0,0,G507/H507)</f>
        <v/>
      </c>
      <c r="J507" t="n">
        <v>1</v>
      </c>
      <c r="K507" t="n">
        <v>6</v>
      </c>
      <c r="L507" t="n">
        <v>1</v>
      </c>
      <c r="M507" t="n">
        <v>259.0610107229974</v>
      </c>
      <c r="N507">
        <f>D507/2</f>
        <v/>
      </c>
      <c r="O507">
        <f>N507+E507</f>
        <v/>
      </c>
      <c r="P507">
        <f>I507&lt;0.05</f>
        <v/>
      </c>
    </row>
    <row r="508">
      <c r="A508" t="inlineStr">
        <is>
          <t>FOODS_3_682</t>
        </is>
      </c>
      <c r="B508" t="n">
        <v>9.426678086962211</v>
      </c>
      <c r="C508" t="n">
        <v>65.98674660873547</v>
      </c>
      <c r="D508" t="n">
        <v>66</v>
      </c>
      <c r="E508" s="15" t="n">
        <v>1</v>
      </c>
      <c r="F508">
        <f>C508+E508</f>
        <v/>
      </c>
      <c r="G508" t="n">
        <v>8.013253391264527</v>
      </c>
      <c r="H508" t="n">
        <v>293</v>
      </c>
      <c r="I508">
        <f>IF(H508=0,0,G508/H508)</f>
        <v/>
      </c>
      <c r="J508" t="n">
        <v>2</v>
      </c>
      <c r="K508" t="n">
        <v>5</v>
      </c>
      <c r="L508" t="n">
        <v>2</v>
      </c>
      <c r="M508" t="n">
        <v>29.6009894969129</v>
      </c>
      <c r="N508">
        <f>D508/2</f>
        <v/>
      </c>
      <c r="O508">
        <f>N508+E508</f>
        <v/>
      </c>
      <c r="P508">
        <f>I508&lt;0.05</f>
        <v/>
      </c>
    </row>
    <row r="509">
      <c r="A509" t="inlineStr">
        <is>
          <t>FOODS_3_683</t>
        </is>
      </c>
      <c r="B509" t="n">
        <v>5.391756651700549</v>
      </c>
      <c r="C509" t="n">
        <v>37.74229656190384</v>
      </c>
      <c r="D509" t="n">
        <v>38</v>
      </c>
      <c r="E509" s="15" t="n">
        <v>0</v>
      </c>
      <c r="F509">
        <f>C509+E509</f>
        <v/>
      </c>
      <c r="G509" t="n">
        <v>0</v>
      </c>
      <c r="H509" t="n">
        <v>126</v>
      </c>
      <c r="I509">
        <f>IF(H509=0,0,G509/H509)</f>
        <v/>
      </c>
      <c r="J509" t="n">
        <v>0</v>
      </c>
      <c r="K509" t="n">
        <v>4</v>
      </c>
      <c r="L509" t="n">
        <v>0</v>
      </c>
      <c r="M509" t="n">
        <v>25.17086799047527</v>
      </c>
      <c r="N509">
        <f>D509/2</f>
        <v/>
      </c>
      <c r="O509">
        <f>N509+E509</f>
        <v/>
      </c>
      <c r="P509">
        <f>I509&lt;0.05</f>
        <v/>
      </c>
    </row>
    <row r="510">
      <c r="A510" t="inlineStr">
        <is>
          <t>FOODS_3_688</t>
        </is>
      </c>
      <c r="B510" t="n">
        <v>5.767422513849621</v>
      </c>
      <c r="C510" t="n">
        <v>40.37195759694735</v>
      </c>
      <c r="D510" t="n">
        <v>41</v>
      </c>
      <c r="E510" s="15" t="n">
        <v>0</v>
      </c>
      <c r="F510">
        <f>C510+E510</f>
        <v/>
      </c>
      <c r="G510" t="n">
        <v>0</v>
      </c>
      <c r="H510" t="n">
        <v>119</v>
      </c>
      <c r="I510">
        <f>IF(H510=0,0,G510/H510)</f>
        <v/>
      </c>
      <c r="J510" t="n">
        <v>0</v>
      </c>
      <c r="K510" t="n">
        <v>3</v>
      </c>
      <c r="L510" t="n">
        <v>0</v>
      </c>
      <c r="M510" t="n">
        <v>32.72910045409022</v>
      </c>
      <c r="N510">
        <f>D510/2</f>
        <v/>
      </c>
      <c r="O510">
        <f>N510+E510</f>
        <v/>
      </c>
      <c r="P510">
        <f>I510&lt;0.05</f>
        <v/>
      </c>
    </row>
    <row r="511">
      <c r="A511" t="inlineStr">
        <is>
          <t>FOODS_3_689</t>
        </is>
      </c>
      <c r="B511" t="n">
        <v>6.832710196956305</v>
      </c>
      <c r="C511" t="n">
        <v>47.82897137869413</v>
      </c>
      <c r="D511" t="n">
        <v>48</v>
      </c>
      <c r="E511" s="15" t="n">
        <v>0</v>
      </c>
      <c r="F511">
        <f>C511+E511</f>
        <v/>
      </c>
      <c r="G511" t="n">
        <v>0</v>
      </c>
      <c r="H511" t="n">
        <v>90</v>
      </c>
      <c r="I511">
        <f>IF(H511=0,0,G511/H511)</f>
        <v/>
      </c>
      <c r="J511" t="n">
        <v>0</v>
      </c>
      <c r="K511" t="n">
        <v>2</v>
      </c>
      <c r="L511" t="n">
        <v>0</v>
      </c>
      <c r="M511" t="n">
        <v>51.90039995012273</v>
      </c>
      <c r="N511">
        <f>D511/2</f>
        <v/>
      </c>
      <c r="O511">
        <f>N511+E511</f>
        <v/>
      </c>
      <c r="P511">
        <f>I511&lt;0.05</f>
        <v/>
      </c>
    </row>
    <row r="512">
      <c r="A512" t="inlineStr">
        <is>
          <t>FOODS_3_692</t>
        </is>
      </c>
      <c r="B512" t="n">
        <v>4.344197187650624</v>
      </c>
      <c r="C512" t="n">
        <v>30.40938031355437</v>
      </c>
      <c r="D512" t="n">
        <v>31</v>
      </c>
      <c r="E512" s="15" t="n">
        <v>10</v>
      </c>
      <c r="F512">
        <f>C512+E512</f>
        <v/>
      </c>
      <c r="G512" t="n">
        <v>5.590619686445635</v>
      </c>
      <c r="H512" t="n">
        <v>113</v>
      </c>
      <c r="I512">
        <f>IF(H512=0,0,G512/H512)</f>
        <v/>
      </c>
      <c r="J512" t="n">
        <v>1</v>
      </c>
      <c r="K512" t="n">
        <v>4</v>
      </c>
      <c r="L512" t="n">
        <v>1</v>
      </c>
      <c r="M512" t="n">
        <v>26.75502516797556</v>
      </c>
      <c r="N512">
        <f>D512/2</f>
        <v/>
      </c>
      <c r="O512">
        <f>N512+E512</f>
        <v/>
      </c>
      <c r="P512">
        <f>I512&lt;0.05</f>
        <v/>
      </c>
    </row>
    <row r="513">
      <c r="A513" t="inlineStr">
        <is>
          <t>FOODS_3_694</t>
        </is>
      </c>
      <c r="B513" t="n">
        <v>17.68789476831079</v>
      </c>
      <c r="C513" t="n">
        <v>123.8152633781755</v>
      </c>
      <c r="D513" t="n">
        <v>124</v>
      </c>
      <c r="E513" s="15" t="n">
        <v>0</v>
      </c>
      <c r="F513">
        <f>C513+E513</f>
        <v/>
      </c>
      <c r="G513" t="n">
        <v>15.18473662182448</v>
      </c>
      <c r="H513" t="n">
        <v>506</v>
      </c>
      <c r="I513">
        <f>IF(H513=0,0,G513/H513)</f>
        <v/>
      </c>
      <c r="J513" t="n">
        <v>3</v>
      </c>
      <c r="K513" t="n">
        <v>4</v>
      </c>
      <c r="L513" t="n">
        <v>3</v>
      </c>
      <c r="M513" t="n">
        <v>55.35327072389475</v>
      </c>
      <c r="N513">
        <f>D513/2</f>
        <v/>
      </c>
      <c r="O513">
        <f>N513+E513</f>
        <v/>
      </c>
      <c r="P513">
        <f>I513&lt;0.05</f>
        <v/>
      </c>
    </row>
    <row r="514">
      <c r="A514" t="inlineStr">
        <is>
          <t>FOODS_3_695</t>
        </is>
      </c>
      <c r="B514" t="n">
        <v>8.474994697830153</v>
      </c>
      <c r="C514" t="n">
        <v>59.32496288481107</v>
      </c>
      <c r="D514" t="n">
        <v>60</v>
      </c>
      <c r="E514" s="15" t="n">
        <v>1</v>
      </c>
      <c r="F514">
        <f>C514+E514</f>
        <v/>
      </c>
      <c r="G514" t="n">
        <v>6.675037115188928</v>
      </c>
      <c r="H514" t="n">
        <v>261</v>
      </c>
      <c r="I514">
        <f>IF(H514=0,0,G514/H514)</f>
        <v/>
      </c>
      <c r="J514" t="n">
        <v>2</v>
      </c>
      <c r="K514" t="n">
        <v>5</v>
      </c>
      <c r="L514" t="n">
        <v>2</v>
      </c>
      <c r="M514" t="n">
        <v>28.60534918960238</v>
      </c>
      <c r="N514">
        <f>D514/2</f>
        <v/>
      </c>
      <c r="O514">
        <f>N514+E514</f>
        <v/>
      </c>
      <c r="P514">
        <f>I514&lt;0.05</f>
        <v/>
      </c>
    </row>
    <row r="515">
      <c r="A515" t="inlineStr">
        <is>
          <t>FOODS_3_697</t>
        </is>
      </c>
      <c r="B515" t="n">
        <v>10.99130556322903</v>
      </c>
      <c r="C515" t="n">
        <v>76.93913894260321</v>
      </c>
      <c r="D515" t="n">
        <v>77</v>
      </c>
      <c r="E515" s="15" t="n">
        <v>7</v>
      </c>
      <c r="F515">
        <f>C515+E515</f>
        <v/>
      </c>
      <c r="G515" t="n">
        <v>14.06086105739679</v>
      </c>
      <c r="H515" t="n">
        <v>364</v>
      </c>
      <c r="I515">
        <f>IF(H515=0,0,G515/H515)</f>
        <v/>
      </c>
      <c r="J515" t="n">
        <v>1</v>
      </c>
      <c r="K515" t="n">
        <v>5</v>
      </c>
      <c r="L515" t="n">
        <v>1</v>
      </c>
      <c r="M515" t="n">
        <v>36.98695834484355</v>
      </c>
      <c r="N515">
        <f>D515/2</f>
        <v/>
      </c>
      <c r="O515">
        <f>N515+E515</f>
        <v/>
      </c>
      <c r="P515">
        <f>I515&lt;0.05</f>
        <v/>
      </c>
    </row>
    <row r="516">
      <c r="A516" t="inlineStr">
        <is>
          <t>FOODS_3_700</t>
        </is>
      </c>
      <c r="B516" t="n">
        <v>2.314011391751692</v>
      </c>
      <c r="C516" t="n">
        <v>16.19807974226184</v>
      </c>
      <c r="D516" t="n">
        <v>17</v>
      </c>
      <c r="E516" s="15" t="n">
        <v>7</v>
      </c>
      <c r="F516">
        <f>C516+E516</f>
        <v/>
      </c>
      <c r="G516" t="n">
        <v>2.801920257738157</v>
      </c>
      <c r="H516" t="n">
        <v>97</v>
      </c>
      <c r="I516">
        <f>IF(H516=0,0,G516/H516)</f>
        <v/>
      </c>
      <c r="J516" t="n">
        <v>1</v>
      </c>
      <c r="K516" t="n">
        <v>6</v>
      </c>
      <c r="L516" t="n">
        <v>1</v>
      </c>
      <c r="M516" t="n">
        <v>8.856114147640271</v>
      </c>
      <c r="N516">
        <f>D516/2</f>
        <v/>
      </c>
      <c r="O516">
        <f>N516+E516</f>
        <v/>
      </c>
      <c r="P516">
        <f>I516&lt;0.05</f>
        <v/>
      </c>
    </row>
    <row r="517">
      <c r="A517" t="inlineStr">
        <is>
          <t>FOODS_3_702</t>
        </is>
      </c>
      <c r="B517" t="n">
        <v>6.328893174788106</v>
      </c>
      <c r="C517" t="n">
        <v>44.30225222351674</v>
      </c>
      <c r="D517" t="n">
        <v>45</v>
      </c>
      <c r="E517" s="15" t="n">
        <v>122</v>
      </c>
      <c r="F517">
        <f>C517+E517</f>
        <v/>
      </c>
      <c r="G517" t="n">
        <v>26.69774777648325</v>
      </c>
      <c r="H517" t="n">
        <v>696</v>
      </c>
      <c r="I517">
        <f>IF(H517=0,0,G517/H517)</f>
        <v/>
      </c>
      <c r="J517" t="n">
        <v>1</v>
      </c>
      <c r="K517" t="n">
        <v>15</v>
      </c>
      <c r="L517" t="n">
        <v>1</v>
      </c>
      <c r="M517" t="n">
        <v>38.44430500083217</v>
      </c>
      <c r="N517">
        <f>D517/2</f>
        <v/>
      </c>
      <c r="O517">
        <f>N517+E517</f>
        <v/>
      </c>
      <c r="P517">
        <f>I517&lt;0.05</f>
        <v/>
      </c>
    </row>
    <row r="518">
      <c r="A518" t="inlineStr">
        <is>
          <t>FOODS_3_704</t>
        </is>
      </c>
      <c r="B518" t="n">
        <v>2.799944161029241</v>
      </c>
      <c r="C518" t="n">
        <v>19.59960912720468</v>
      </c>
      <c r="D518" t="n">
        <v>20</v>
      </c>
      <c r="E518" s="15" t="n">
        <v>14</v>
      </c>
      <c r="F518">
        <f>C518+E518</f>
        <v/>
      </c>
      <c r="G518" t="n">
        <v>4.400390872795313</v>
      </c>
      <c r="H518" t="n">
        <v>92</v>
      </c>
      <c r="I518">
        <f>IF(H518=0,0,G518/H518)</f>
        <v/>
      </c>
      <c r="J518" t="n">
        <v>1</v>
      </c>
      <c r="K518" t="n">
        <v>5</v>
      </c>
      <c r="L518" t="n">
        <v>1</v>
      </c>
      <c r="M518" t="n">
        <v>21.27134481297243</v>
      </c>
      <c r="N518">
        <f>D518/2</f>
        <v/>
      </c>
      <c r="O518">
        <f>N518+E518</f>
        <v/>
      </c>
      <c r="P518">
        <f>I518&lt;0.05</f>
        <v/>
      </c>
    </row>
    <row r="519">
      <c r="A519" t="inlineStr">
        <is>
          <t>FOODS_3_706</t>
        </is>
      </c>
      <c r="B519" t="n">
        <v>2.705280364270866</v>
      </c>
      <c r="C519" t="n">
        <v>18.93696254989606</v>
      </c>
      <c r="D519" t="n">
        <v>19</v>
      </c>
      <c r="E519" s="15" t="n">
        <v>3</v>
      </c>
      <c r="F519">
        <f>C519+E519</f>
        <v/>
      </c>
      <c r="G519" t="n">
        <v>4.063037450103941</v>
      </c>
      <c r="H519" t="n">
        <v>87</v>
      </c>
      <c r="I519">
        <f>IF(H519=0,0,G519/H519)</f>
        <v/>
      </c>
      <c r="J519" t="n">
        <v>2</v>
      </c>
      <c r="K519" t="n">
        <v>5</v>
      </c>
      <c r="L519" t="n">
        <v>2</v>
      </c>
      <c r="M519" t="n">
        <v>10.74068753564005</v>
      </c>
      <c r="N519">
        <f>D519/2</f>
        <v/>
      </c>
      <c r="O519">
        <f>N519+E519</f>
        <v/>
      </c>
      <c r="P519">
        <f>I519&lt;0.05</f>
        <v/>
      </c>
    </row>
    <row r="520">
      <c r="A520" t="inlineStr">
        <is>
          <t>FOODS_3_711</t>
        </is>
      </c>
      <c r="B520" t="n">
        <v>10.63197234449462</v>
      </c>
      <c r="C520" t="n">
        <v>74.42380641146235</v>
      </c>
      <c r="D520" t="n">
        <v>75</v>
      </c>
      <c r="E520" s="15" t="n">
        <v>21</v>
      </c>
      <c r="F520">
        <f>C520+E520</f>
        <v/>
      </c>
      <c r="G520" t="n">
        <v>14.57619358853765</v>
      </c>
      <c r="H520" t="n">
        <v>302</v>
      </c>
      <c r="I520">
        <f>IF(H520=0,0,G520/H520)</f>
        <v/>
      </c>
      <c r="J520" t="n">
        <v>3</v>
      </c>
      <c r="K520" t="n">
        <v>4</v>
      </c>
      <c r="L520" t="n">
        <v>2</v>
      </c>
      <c r="M520" t="n">
        <v>57.55510137388479</v>
      </c>
      <c r="N520">
        <f>D520/2</f>
        <v/>
      </c>
      <c r="O520">
        <f>N520+E520</f>
        <v/>
      </c>
      <c r="P520">
        <f>I520&lt;0.05</f>
        <v/>
      </c>
    </row>
    <row r="521">
      <c r="A521" t="inlineStr">
        <is>
          <t>FOODS_3_712</t>
        </is>
      </c>
      <c r="B521" t="n">
        <v>2.231329553577006</v>
      </c>
      <c r="C521" t="n">
        <v>15.61930687503904</v>
      </c>
      <c r="D521" t="n">
        <v>16</v>
      </c>
      <c r="E521" s="15" t="n">
        <v>1</v>
      </c>
      <c r="F521">
        <f>C521+E521</f>
        <v/>
      </c>
      <c r="G521" t="n">
        <v>1.38069312496096</v>
      </c>
      <c r="H521" t="n">
        <v>66</v>
      </c>
      <c r="I521">
        <f>IF(H521=0,0,G521/H521)</f>
        <v/>
      </c>
      <c r="J521" t="n">
        <v>2</v>
      </c>
      <c r="K521" t="n">
        <v>5</v>
      </c>
      <c r="L521" t="n">
        <v>1</v>
      </c>
      <c r="M521" t="n">
        <v>9.957584843765337</v>
      </c>
      <c r="N521">
        <f>D521/2</f>
        <v/>
      </c>
      <c r="O521">
        <f>N521+E521</f>
        <v/>
      </c>
      <c r="P521">
        <f>I521&lt;0.05</f>
        <v/>
      </c>
    </row>
    <row r="522">
      <c r="A522" t="inlineStr">
        <is>
          <t>FOODS_3_714</t>
        </is>
      </c>
      <c r="B522" t="n">
        <v>29.12111909314293</v>
      </c>
      <c r="C522" t="n">
        <v>203.8478336520005</v>
      </c>
      <c r="D522" t="n">
        <v>204</v>
      </c>
      <c r="E522" s="15" t="n">
        <v>14</v>
      </c>
      <c r="F522">
        <f>C522+E522</f>
        <v/>
      </c>
      <c r="G522" t="n">
        <v>43.15216634799953</v>
      </c>
      <c r="H522" t="n">
        <v>870</v>
      </c>
      <c r="I522">
        <f>IF(H522=0,0,G522/H522)</f>
        <v/>
      </c>
      <c r="J522" t="n">
        <v>1</v>
      </c>
      <c r="K522" t="n">
        <v>5</v>
      </c>
      <c r="L522" t="n">
        <v>1</v>
      </c>
      <c r="M522" t="n">
        <v>117.4673929254287</v>
      </c>
      <c r="N522">
        <f>D522/2</f>
        <v/>
      </c>
      <c r="O522">
        <f>N522+E522</f>
        <v/>
      </c>
      <c r="P522">
        <f>I522&lt;0.05</f>
        <v/>
      </c>
    </row>
    <row r="523">
      <c r="A523" t="inlineStr">
        <is>
          <t>FOODS_3_723</t>
        </is>
      </c>
      <c r="B523" t="n">
        <v>24.6156861251251</v>
      </c>
      <c r="C523" t="n">
        <v>172.3098028758757</v>
      </c>
      <c r="D523" t="n">
        <v>173</v>
      </c>
      <c r="E523" s="15" t="n">
        <v>3</v>
      </c>
      <c r="F523">
        <f>C523+E523</f>
        <v/>
      </c>
      <c r="G523" t="n">
        <v>33.6901971241243</v>
      </c>
      <c r="H523" t="n">
        <v>688</v>
      </c>
      <c r="I523">
        <f>IF(H523=0,0,G523/H523)</f>
        <v/>
      </c>
      <c r="J523" t="n">
        <v>3</v>
      </c>
      <c r="K523" t="n">
        <v>4</v>
      </c>
      <c r="L523" t="n">
        <v>2</v>
      </c>
      <c r="M523" t="n">
        <v>101.9592434734019</v>
      </c>
      <c r="N523">
        <f>D523/2</f>
        <v/>
      </c>
      <c r="O523">
        <f>N523+E523</f>
        <v/>
      </c>
      <c r="P523">
        <f>I523&lt;0.05</f>
        <v/>
      </c>
    </row>
    <row r="524">
      <c r="A524" t="inlineStr">
        <is>
          <t>FOODS_3_725</t>
        </is>
      </c>
      <c r="B524" t="n">
        <v>5.581590882052839</v>
      </c>
      <c r="C524" t="n">
        <v>39.07113617436988</v>
      </c>
      <c r="D524" t="n">
        <v>40</v>
      </c>
      <c r="E524" s="15" t="n">
        <v>0</v>
      </c>
      <c r="F524">
        <f>C524+E524</f>
        <v/>
      </c>
      <c r="G524" t="n">
        <v>0</v>
      </c>
      <c r="H524" t="n">
        <v>122</v>
      </c>
      <c r="I524">
        <f>IF(H524=0,0,G524/H524)</f>
        <v/>
      </c>
      <c r="J524" t="n">
        <v>0</v>
      </c>
      <c r="K524" t="n">
        <v>4</v>
      </c>
      <c r="L524" t="n">
        <v>0</v>
      </c>
      <c r="M524" t="n">
        <v>27.463993317227</v>
      </c>
      <c r="N524">
        <f>D524/2</f>
        <v/>
      </c>
      <c r="O524">
        <f>N524+E524</f>
        <v/>
      </c>
      <c r="P524">
        <f>I524&lt;0.05</f>
        <v/>
      </c>
    </row>
    <row r="525">
      <c r="A525" t="inlineStr">
        <is>
          <t>FOODS_3_727</t>
        </is>
      </c>
      <c r="B525" t="n">
        <v>2.662619889584419</v>
      </c>
      <c r="C525" t="n">
        <v>18.63833922709093</v>
      </c>
      <c r="D525" t="n">
        <v>19</v>
      </c>
      <c r="E525" s="15" t="n">
        <v>6</v>
      </c>
      <c r="F525">
        <f>C525+E525</f>
        <v/>
      </c>
      <c r="G525" t="n">
        <v>4.361660772909065</v>
      </c>
      <c r="H525" t="n">
        <v>110</v>
      </c>
      <c r="I525">
        <f>IF(H525=0,0,G525/H525)</f>
        <v/>
      </c>
      <c r="J525" t="n">
        <v>2</v>
      </c>
      <c r="K525" t="n">
        <v>6</v>
      </c>
      <c r="L525" t="n">
        <v>2</v>
      </c>
      <c r="M525" t="n">
        <v>8.922501262948058</v>
      </c>
      <c r="N525">
        <f>D525/2</f>
        <v/>
      </c>
      <c r="O525">
        <f>N525+E525</f>
        <v/>
      </c>
      <c r="P525">
        <f>I525&lt;0.05</f>
        <v/>
      </c>
    </row>
    <row r="526">
      <c r="A526" t="inlineStr">
        <is>
          <t>FOODS_3_731</t>
        </is>
      </c>
      <c r="B526" t="n">
        <v>3.640294073070019</v>
      </c>
      <c r="C526" t="n">
        <v>25.48205851149013</v>
      </c>
      <c r="D526" t="n">
        <v>26</v>
      </c>
      <c r="E526" s="15" t="n">
        <v>1</v>
      </c>
      <c r="F526">
        <f>C526+E526</f>
        <v/>
      </c>
      <c r="G526" t="n">
        <v>4.517941488509869</v>
      </c>
      <c r="H526" t="n">
        <v>104</v>
      </c>
      <c r="I526">
        <f>IF(H526=0,0,G526/H526)</f>
        <v/>
      </c>
      <c r="J526" t="n">
        <v>1</v>
      </c>
      <c r="K526" t="n">
        <v>4</v>
      </c>
      <c r="L526" t="n">
        <v>1</v>
      </c>
      <c r="M526" t="n">
        <v>17.38388639860221</v>
      </c>
      <c r="N526">
        <f>D526/2</f>
        <v/>
      </c>
      <c r="O526">
        <f>N526+E526</f>
        <v/>
      </c>
      <c r="P526">
        <f>I526&lt;0.05</f>
        <v/>
      </c>
    </row>
    <row r="527">
      <c r="A527" t="inlineStr">
        <is>
          <t>FOODS_3_732</t>
        </is>
      </c>
      <c r="B527" t="n">
        <v>0.7569572705161953</v>
      </c>
      <c r="C527" t="n">
        <v>5.298700893613367</v>
      </c>
      <c r="D527" t="n">
        <v>6</v>
      </c>
      <c r="E527" s="15" t="n">
        <v>14</v>
      </c>
      <c r="F527">
        <f>C527+E527</f>
        <v/>
      </c>
      <c r="G527" t="n">
        <v>1.701299106386632</v>
      </c>
      <c r="H527" t="n">
        <v>51</v>
      </c>
      <c r="I527">
        <f>IF(H527=0,0,G527/H527)</f>
        <v/>
      </c>
      <c r="J527" t="n">
        <v>1</v>
      </c>
      <c r="K527" t="n">
        <v>9</v>
      </c>
      <c r="L527" t="n">
        <v>1</v>
      </c>
      <c r="M527" t="n">
        <v>12.08812579786908</v>
      </c>
      <c r="N527">
        <f>D527/2</f>
        <v/>
      </c>
      <c r="O527">
        <f>N527+E527</f>
        <v/>
      </c>
      <c r="P527">
        <f>I527&lt;0.05</f>
        <v/>
      </c>
    </row>
    <row r="528">
      <c r="A528" t="inlineStr">
        <is>
          <t>FOODS_3_734</t>
        </is>
      </c>
      <c r="B528" t="n">
        <v>6.096526780430464</v>
      </c>
      <c r="C528" t="n">
        <v>42.67568746301325</v>
      </c>
      <c r="D528" t="n">
        <v>43</v>
      </c>
      <c r="E528" s="15" t="n">
        <v>7</v>
      </c>
      <c r="F528">
        <f>C528+E528</f>
        <v/>
      </c>
      <c r="G528" t="n">
        <v>9.324312536986753</v>
      </c>
      <c r="H528" t="n">
        <v>207</v>
      </c>
      <c r="I528">
        <f>IF(H528=0,0,G528/H528)</f>
        <v/>
      </c>
      <c r="J528" t="n">
        <v>3</v>
      </c>
      <c r="K528" t="n">
        <v>5</v>
      </c>
      <c r="L528" t="n">
        <v>3</v>
      </c>
      <c r="M528" t="n">
        <v>20.8947901706457</v>
      </c>
      <c r="N528">
        <f>D528/2</f>
        <v/>
      </c>
      <c r="O528">
        <f>N528+E528</f>
        <v/>
      </c>
      <c r="P528">
        <f>I528&lt;0.05</f>
        <v/>
      </c>
    </row>
    <row r="529">
      <c r="A529" t="inlineStr">
        <is>
          <t>FOODS_3_735</t>
        </is>
      </c>
      <c r="B529" t="n">
        <v>2.273957007776033</v>
      </c>
      <c r="C529" t="n">
        <v>15.91769905443223</v>
      </c>
      <c r="D529" t="n">
        <v>16</v>
      </c>
      <c r="E529" s="15" t="n">
        <v>6</v>
      </c>
      <c r="F529">
        <f>C529+E529</f>
        <v/>
      </c>
      <c r="G529" t="n">
        <v>3.082300945567766</v>
      </c>
      <c r="H529" t="n">
        <v>76</v>
      </c>
      <c r="I529">
        <f>IF(H529=0,0,G529/H529)</f>
        <v/>
      </c>
      <c r="J529" t="n">
        <v>1</v>
      </c>
      <c r="K529" t="n">
        <v>5</v>
      </c>
      <c r="L529" t="n">
        <v>1</v>
      </c>
      <c r="M529" t="n">
        <v>10.80379265452119</v>
      </c>
      <c r="N529">
        <f>D529/2</f>
        <v/>
      </c>
      <c r="O529">
        <f>N529+E529</f>
        <v/>
      </c>
      <c r="P529">
        <f>I529&lt;0.05</f>
        <v/>
      </c>
    </row>
    <row r="530">
      <c r="A530" t="inlineStr">
        <is>
          <t>FOODS_3_738</t>
        </is>
      </c>
      <c r="B530" t="n">
        <v>3.779649398450983</v>
      </c>
      <c r="C530" t="n">
        <v>26.45754578915688</v>
      </c>
      <c r="D530" t="n">
        <v>27</v>
      </c>
      <c r="E530" s="15" t="n">
        <v>10</v>
      </c>
      <c r="F530">
        <f>C530+E530</f>
        <v/>
      </c>
      <c r="G530" t="n">
        <v>5.542454210843118</v>
      </c>
      <c r="H530" t="n">
        <v>111</v>
      </c>
      <c r="I530">
        <f>IF(H530=0,0,G530/H530)</f>
        <v/>
      </c>
      <c r="J530" t="n">
        <v>3</v>
      </c>
      <c r="K530" t="n">
        <v>4</v>
      </c>
      <c r="L530" t="n">
        <v>1</v>
      </c>
      <c r="M530" t="n">
        <v>23.38679225559384</v>
      </c>
      <c r="N530">
        <f>D530/2</f>
        <v/>
      </c>
      <c r="O530">
        <f>N530+E530</f>
        <v/>
      </c>
      <c r="P530">
        <f>I530&lt;0.05</f>
        <v/>
      </c>
    </row>
    <row r="531">
      <c r="A531" t="inlineStr">
        <is>
          <t>FOODS_3_739</t>
        </is>
      </c>
      <c r="B531" t="n">
        <v>24.72269376920804</v>
      </c>
      <c r="C531" t="n">
        <v>173.0588563844563</v>
      </c>
      <c r="D531" t="n">
        <v>174</v>
      </c>
      <c r="E531" s="15" t="n">
        <v>0</v>
      </c>
      <c r="F531">
        <f>C531+E531</f>
        <v/>
      </c>
      <c r="G531" t="n">
        <v>0</v>
      </c>
      <c r="H531" t="n">
        <v>559</v>
      </c>
      <c r="I531">
        <f>IF(H531=0,0,G531/H531)</f>
        <v/>
      </c>
      <c r="J531" t="n">
        <v>0</v>
      </c>
      <c r="K531" t="n">
        <v>4</v>
      </c>
      <c r="L531" t="n">
        <v>0</v>
      </c>
      <c r="M531" t="n">
        <v>114.3445706701706</v>
      </c>
      <c r="N531">
        <f>D531/2</f>
        <v/>
      </c>
      <c r="O531">
        <f>N531+E531</f>
        <v/>
      </c>
      <c r="P531">
        <f>I531&lt;0.05</f>
        <v/>
      </c>
    </row>
    <row r="532">
      <c r="A532" t="inlineStr">
        <is>
          <t>FOODS_3_741</t>
        </is>
      </c>
      <c r="B532" t="n">
        <v>11.98727081197909</v>
      </c>
      <c r="C532" t="n">
        <v>83.91089568385362</v>
      </c>
      <c r="D532" t="n">
        <v>84</v>
      </c>
      <c r="E532" s="15" t="n">
        <v>0</v>
      </c>
      <c r="F532">
        <f>C532+E532</f>
        <v/>
      </c>
      <c r="G532" t="n">
        <v>0</v>
      </c>
      <c r="H532" t="n">
        <v>157</v>
      </c>
      <c r="I532">
        <f>IF(H532=0,0,G532/H532)</f>
        <v/>
      </c>
      <c r="J532" t="n">
        <v>0</v>
      </c>
      <c r="K532" t="n">
        <v>2</v>
      </c>
      <c r="L532" t="n">
        <v>0</v>
      </c>
      <c r="M532" t="n">
        <v>80.41089568385361</v>
      </c>
      <c r="N532">
        <f>D532/2</f>
        <v/>
      </c>
      <c r="O532">
        <f>N532+E532</f>
        <v/>
      </c>
      <c r="P532">
        <f>I532&lt;0.05</f>
        <v/>
      </c>
    </row>
    <row r="533">
      <c r="A533" t="inlineStr">
        <is>
          <t>FOODS_3_744</t>
        </is>
      </c>
      <c r="B533" t="n">
        <v>12.06040675322213</v>
      </c>
      <c r="C533" t="n">
        <v>84.42284727255489</v>
      </c>
      <c r="D533" t="n">
        <v>85</v>
      </c>
      <c r="E533" s="15" t="n">
        <v>18</v>
      </c>
      <c r="F533">
        <f>C533+E533</f>
        <v/>
      </c>
      <c r="G533" t="n">
        <v>18.57715272744511</v>
      </c>
      <c r="H533" t="n">
        <v>385</v>
      </c>
      <c r="I533">
        <f>IF(H533=0,0,G533/H533)</f>
        <v/>
      </c>
      <c r="J533" t="n">
        <v>2</v>
      </c>
      <c r="K533" t="n">
        <v>5</v>
      </c>
      <c r="L533" t="n">
        <v>2</v>
      </c>
      <c r="M533" t="n">
        <v>50.41203870126176</v>
      </c>
      <c r="N533">
        <f>D533/2</f>
        <v/>
      </c>
      <c r="O533">
        <f>N533+E533</f>
        <v/>
      </c>
      <c r="P533">
        <f>I533&lt;0.05</f>
        <v/>
      </c>
    </row>
    <row r="534">
      <c r="A534" t="inlineStr">
        <is>
          <t>FOODS_3_746</t>
        </is>
      </c>
      <c r="B534" t="n">
        <v>13.24326094312942</v>
      </c>
      <c r="C534" t="n">
        <v>92.70282660190591</v>
      </c>
      <c r="D534" t="n">
        <v>93</v>
      </c>
      <c r="E534" s="15" t="n">
        <v>0</v>
      </c>
      <c r="F534">
        <f>C534+E534</f>
        <v/>
      </c>
      <c r="G534" t="n">
        <v>0</v>
      </c>
      <c r="H534" t="n">
        <v>135</v>
      </c>
      <c r="I534">
        <f>IF(H534=0,0,G534/H534)</f>
        <v/>
      </c>
      <c r="J534" t="n">
        <v>0</v>
      </c>
      <c r="K534" t="n">
        <v>2</v>
      </c>
      <c r="L534" t="n">
        <v>0</v>
      </c>
      <c r="M534" t="n">
        <v>98.45282660190594</v>
      </c>
      <c r="N534">
        <f>D534/2</f>
        <v/>
      </c>
      <c r="O534">
        <f>N534+E534</f>
        <v/>
      </c>
      <c r="P534">
        <f>I534&lt;0.05</f>
        <v/>
      </c>
    </row>
    <row r="535">
      <c r="A535" t="inlineStr">
        <is>
          <t>FOODS_3_747</t>
        </is>
      </c>
      <c r="B535" t="n">
        <v>4.090862704023619</v>
      </c>
      <c r="C535" t="n">
        <v>28.63603892816533</v>
      </c>
      <c r="D535" t="n">
        <v>29</v>
      </c>
      <c r="E535" s="15" t="n">
        <v>9</v>
      </c>
      <c r="F535">
        <f>C535+E535</f>
        <v/>
      </c>
      <c r="G535" t="n">
        <v>6.363961071834666</v>
      </c>
      <c r="H535" t="n">
        <v>143</v>
      </c>
      <c r="I535">
        <f>IF(H535=0,0,G535/H535)</f>
        <v/>
      </c>
      <c r="J535" t="n">
        <v>2</v>
      </c>
      <c r="K535" t="n">
        <v>5</v>
      </c>
      <c r="L535" t="n">
        <v>1</v>
      </c>
      <c r="M535" t="n">
        <v>17.44144247434476</v>
      </c>
      <c r="N535">
        <f>D535/2</f>
        <v/>
      </c>
      <c r="O535">
        <f>N535+E535</f>
        <v/>
      </c>
      <c r="P535">
        <f>I535&lt;0.05</f>
        <v/>
      </c>
    </row>
    <row r="536">
      <c r="A536" t="inlineStr">
        <is>
          <t>FOODS_3_750</t>
        </is>
      </c>
      <c r="B536" t="n">
        <v>2.972408442823124</v>
      </c>
      <c r="C536" t="n">
        <v>20.80685909976187</v>
      </c>
      <c r="D536" t="n">
        <v>21</v>
      </c>
      <c r="E536" s="15" t="n">
        <v>5</v>
      </c>
      <c r="F536">
        <f>C536+E536</f>
        <v/>
      </c>
      <c r="G536" t="n">
        <v>3.193140900238134</v>
      </c>
      <c r="H536" t="n">
        <v>105</v>
      </c>
      <c r="I536">
        <f>IF(H536=0,0,G536/H536)</f>
        <v/>
      </c>
      <c r="J536" t="n">
        <v>2</v>
      </c>
      <c r="K536" t="n">
        <v>5</v>
      </c>
      <c r="L536" t="n">
        <v>2</v>
      </c>
      <c r="M536" t="n">
        <v>12.81575552137754</v>
      </c>
      <c r="N536">
        <f>D536/2</f>
        <v/>
      </c>
      <c r="O536">
        <f>N536+E536</f>
        <v/>
      </c>
      <c r="P536">
        <f>I536&lt;0.05</f>
        <v/>
      </c>
    </row>
    <row r="537">
      <c r="A537" t="inlineStr">
        <is>
          <t>FOODS_3_752</t>
        </is>
      </c>
      <c r="B537" t="n">
        <v>13.91200424129177</v>
      </c>
      <c r="C537" t="n">
        <v>97.38402968904239</v>
      </c>
      <c r="D537" t="n">
        <v>98</v>
      </c>
      <c r="E537" s="15" t="n">
        <v>0</v>
      </c>
      <c r="F537">
        <f>C537+E537</f>
        <v/>
      </c>
      <c r="G537" t="n">
        <v>0</v>
      </c>
      <c r="H537" t="n">
        <v>286</v>
      </c>
      <c r="I537">
        <f>IF(H537=0,0,G537/H537)</f>
        <v/>
      </c>
      <c r="J537" t="n">
        <v>0</v>
      </c>
      <c r="K537" t="n">
        <v>3</v>
      </c>
      <c r="L537" t="n">
        <v>0</v>
      </c>
      <c r="M537" t="n">
        <v>75.74117254618523</v>
      </c>
      <c r="N537">
        <f>D537/2</f>
        <v/>
      </c>
      <c r="O537">
        <f>N537+E537</f>
        <v/>
      </c>
      <c r="P537">
        <f>I537&lt;0.05</f>
        <v/>
      </c>
    </row>
    <row r="538">
      <c r="A538" t="inlineStr">
        <is>
          <t>FOODS_3_753</t>
        </is>
      </c>
      <c r="B538" t="n">
        <v>3.582708244448937</v>
      </c>
      <c r="C538" t="n">
        <v>25.07895771114256</v>
      </c>
      <c r="D538" t="n">
        <v>26</v>
      </c>
      <c r="E538" s="15" t="n">
        <v>5</v>
      </c>
      <c r="F538">
        <f>C538+E538</f>
        <v/>
      </c>
      <c r="G538" t="n">
        <v>5.921042288857436</v>
      </c>
      <c r="H538" t="n">
        <v>123</v>
      </c>
      <c r="I538">
        <f>IF(H538=0,0,G538/H538)</f>
        <v/>
      </c>
      <c r="J538" t="n">
        <v>3</v>
      </c>
      <c r="K538" t="n">
        <v>5</v>
      </c>
      <c r="L538" t="n">
        <v>3</v>
      </c>
      <c r="M538" t="n">
        <v>14.39662171271414</v>
      </c>
      <c r="N538">
        <f>D538/2</f>
        <v/>
      </c>
      <c r="O538">
        <f>N538+E538</f>
        <v/>
      </c>
      <c r="P538">
        <f>I538&lt;0.05</f>
        <v/>
      </c>
    </row>
    <row r="539">
      <c r="A539" t="inlineStr">
        <is>
          <t>FOODS_3_755</t>
        </is>
      </c>
      <c r="B539" t="n">
        <v>5.969837092840646</v>
      </c>
      <c r="C539" t="n">
        <v>41.78885964988452</v>
      </c>
      <c r="D539" t="n">
        <v>42</v>
      </c>
      <c r="E539" s="15" t="n">
        <v>2</v>
      </c>
      <c r="F539">
        <f>C539+E539</f>
        <v/>
      </c>
      <c r="G539" t="n">
        <v>7.211140350115478</v>
      </c>
      <c r="H539" t="n">
        <v>161</v>
      </c>
      <c r="I539">
        <f>IF(H539=0,0,G539/H539)</f>
        <v/>
      </c>
      <c r="J539" t="n">
        <v>1</v>
      </c>
      <c r="K539" t="n">
        <v>4</v>
      </c>
      <c r="L539" t="n">
        <v>1</v>
      </c>
      <c r="M539" t="n">
        <v>25.70632832134608</v>
      </c>
      <c r="N539">
        <f>D539/2</f>
        <v/>
      </c>
      <c r="O539">
        <f>N539+E539</f>
        <v/>
      </c>
      <c r="P539">
        <f>I539&lt;0.05</f>
        <v/>
      </c>
    </row>
    <row r="540">
      <c r="A540" t="inlineStr">
        <is>
          <t>FOODS_3_756</t>
        </is>
      </c>
      <c r="B540" t="n">
        <v>12.63482042024977</v>
      </c>
      <c r="C540" t="n">
        <v>88.44374294174841</v>
      </c>
      <c r="D540" t="n">
        <v>89</v>
      </c>
      <c r="E540" s="15" t="n">
        <v>10</v>
      </c>
      <c r="F540">
        <f>C540+E540</f>
        <v/>
      </c>
      <c r="G540" t="n">
        <v>19.55625705825159</v>
      </c>
      <c r="H540" t="n">
        <v>402</v>
      </c>
      <c r="I540">
        <f>IF(H540=0,0,G540/H540)</f>
        <v/>
      </c>
      <c r="J540" t="n">
        <v>2</v>
      </c>
      <c r="K540" t="n">
        <v>5</v>
      </c>
      <c r="L540" t="n">
        <v>2</v>
      </c>
      <c r="M540" t="n">
        <v>48.70981638696314</v>
      </c>
      <c r="N540">
        <f>D540/2</f>
        <v/>
      </c>
      <c r="O540">
        <f>N540+E540</f>
        <v/>
      </c>
      <c r="P540">
        <f>I540&lt;0.05</f>
        <v/>
      </c>
    </row>
    <row r="541">
      <c r="A541" t="inlineStr">
        <is>
          <t>FOODS_3_757</t>
        </is>
      </c>
      <c r="B541" t="n">
        <v>6.382759953105254</v>
      </c>
      <c r="C541" t="n">
        <v>44.67931967173678</v>
      </c>
      <c r="D541" t="n">
        <v>45</v>
      </c>
      <c r="E541" s="15" t="n">
        <v>26</v>
      </c>
      <c r="F541">
        <f>C541+E541</f>
        <v/>
      </c>
      <c r="G541" t="n">
        <v>14.32068032826322</v>
      </c>
      <c r="H541" t="n">
        <v>295</v>
      </c>
      <c r="I541">
        <f>IF(H541=0,0,G541/H541)</f>
        <v/>
      </c>
      <c r="J541" t="n">
        <v>3</v>
      </c>
      <c r="K541" t="n">
        <v>7</v>
      </c>
      <c r="L541" t="n">
        <v>2</v>
      </c>
      <c r="M541" t="n">
        <v>25.53103981242102</v>
      </c>
      <c r="N541">
        <f>D541/2</f>
        <v/>
      </c>
      <c r="O541">
        <f>N541+E541</f>
        <v/>
      </c>
      <c r="P541">
        <f>I541&lt;0.05</f>
        <v/>
      </c>
    </row>
    <row r="542">
      <c r="A542" t="inlineStr">
        <is>
          <t>FOODS_3_760</t>
        </is>
      </c>
      <c r="B542" t="n">
        <v>12.76461990554459</v>
      </c>
      <c r="C542" t="n">
        <v>89.35233933881211</v>
      </c>
      <c r="D542" t="n">
        <v>90</v>
      </c>
      <c r="E542" s="15" t="n">
        <v>0</v>
      </c>
      <c r="F542">
        <f>C542+E542</f>
        <v/>
      </c>
      <c r="G542" t="n">
        <v>0</v>
      </c>
      <c r="H542" t="n">
        <v>205</v>
      </c>
      <c r="I542">
        <f>IF(H542=0,0,G542/H542)</f>
        <v/>
      </c>
      <c r="J542" t="n">
        <v>0</v>
      </c>
      <c r="K542" t="n">
        <v>3</v>
      </c>
      <c r="L542" t="n">
        <v>0</v>
      </c>
      <c r="M542" t="n">
        <v>81.0309107673835</v>
      </c>
      <c r="N542">
        <f>D542/2</f>
        <v/>
      </c>
      <c r="O542">
        <f>N542+E542</f>
        <v/>
      </c>
      <c r="P542">
        <f>I542&lt;0.05</f>
        <v/>
      </c>
    </row>
    <row r="543">
      <c r="A543" t="inlineStr">
        <is>
          <t>FOODS_3_764</t>
        </is>
      </c>
      <c r="B543" t="n">
        <v>13.59139055151163</v>
      </c>
      <c r="C543" t="n">
        <v>95.13973386058143</v>
      </c>
      <c r="D543" t="n">
        <v>96</v>
      </c>
      <c r="E543" s="15" t="n">
        <v>17</v>
      </c>
      <c r="F543">
        <f>C543+E543</f>
        <v/>
      </c>
      <c r="G543" t="n">
        <v>20.86026613941857</v>
      </c>
      <c r="H543" t="n">
        <v>436</v>
      </c>
      <c r="I543">
        <f>IF(H543=0,0,G543/H543)</f>
        <v/>
      </c>
      <c r="J543" t="n">
        <v>2</v>
      </c>
      <c r="K543" t="n">
        <v>5</v>
      </c>
      <c r="L543" t="n">
        <v>2</v>
      </c>
      <c r="M543" t="n">
        <v>56.86057171102575</v>
      </c>
      <c r="N543">
        <f>D543/2</f>
        <v/>
      </c>
      <c r="O543">
        <f>N543+E543</f>
        <v/>
      </c>
      <c r="P543">
        <f>I543&lt;0.05</f>
        <v/>
      </c>
    </row>
    <row r="544">
      <c r="A544" t="inlineStr">
        <is>
          <t>FOODS_3_768</t>
        </is>
      </c>
      <c r="B544" t="n">
        <v>4.254051947248569</v>
      </c>
      <c r="C544" t="n">
        <v>29.77836363073998</v>
      </c>
      <c r="D544" t="n">
        <v>30</v>
      </c>
      <c r="E544" s="15" t="n">
        <v>0</v>
      </c>
      <c r="F544">
        <f>C544+E544</f>
        <v/>
      </c>
      <c r="G544" t="n">
        <v>5.221636369260018</v>
      </c>
      <c r="H544" t="n">
        <v>125</v>
      </c>
      <c r="I544">
        <f>IF(H544=0,0,G544/H544)</f>
        <v/>
      </c>
      <c r="J544" t="n">
        <v>1</v>
      </c>
      <c r="K544" t="n">
        <v>4</v>
      </c>
      <c r="L544" t="n">
        <v>1</v>
      </c>
      <c r="M544" t="n">
        <v>15.17913635821356</v>
      </c>
      <c r="N544">
        <f>D544/2</f>
        <v/>
      </c>
      <c r="O544">
        <f>N544+E544</f>
        <v/>
      </c>
      <c r="P544">
        <f>I544&lt;0.05</f>
        <v/>
      </c>
    </row>
    <row r="545">
      <c r="A545" t="inlineStr">
        <is>
          <t>FOODS_3_769</t>
        </is>
      </c>
      <c r="B545" t="n">
        <v>4.721151060697906</v>
      </c>
      <c r="C545" t="n">
        <v>33.04805742488534</v>
      </c>
      <c r="D545" t="n">
        <v>34</v>
      </c>
      <c r="E545" s="15" t="n">
        <v>1</v>
      </c>
      <c r="F545">
        <f>C545+E545</f>
        <v/>
      </c>
      <c r="G545" t="n">
        <v>2.951942575114657</v>
      </c>
      <c r="H545" t="n">
        <v>127</v>
      </c>
      <c r="I545">
        <f>IF(H545=0,0,G545/H545)</f>
        <v/>
      </c>
      <c r="J545" t="n">
        <v>1</v>
      </c>
      <c r="K545" t="n">
        <v>4</v>
      </c>
      <c r="L545" t="n">
        <v>1</v>
      </c>
      <c r="M545" t="n">
        <v>20.91860219190286</v>
      </c>
      <c r="N545">
        <f>D545/2</f>
        <v/>
      </c>
      <c r="O545">
        <f>N545+E545</f>
        <v/>
      </c>
      <c r="P545">
        <f>I545&lt;0.05</f>
        <v/>
      </c>
    </row>
    <row r="546">
      <c r="A546" t="inlineStr">
        <is>
          <t>FOODS_3_772</t>
        </is>
      </c>
      <c r="B546" t="n">
        <v>6.292521243311115</v>
      </c>
      <c r="C546" t="n">
        <v>44.04764870317781</v>
      </c>
      <c r="D546" t="n">
        <v>45</v>
      </c>
      <c r="E546" s="15" t="n">
        <v>36</v>
      </c>
      <c r="F546">
        <f>C546+E546</f>
        <v/>
      </c>
      <c r="G546" t="n">
        <v>13.9523512968222</v>
      </c>
      <c r="H546" t="n">
        <v>282</v>
      </c>
      <c r="I546">
        <f>IF(H546=0,0,G546/H546)</f>
        <v/>
      </c>
      <c r="J546" t="n">
        <v>2</v>
      </c>
      <c r="K546" t="n">
        <v>6</v>
      </c>
      <c r="L546" t="n">
        <v>1</v>
      </c>
      <c r="M546" t="n">
        <v>37.39287938452622</v>
      </c>
      <c r="N546">
        <f>D546/2</f>
        <v/>
      </c>
      <c r="O546">
        <f>N546+E546</f>
        <v/>
      </c>
      <c r="P546">
        <f>I546&lt;0.05</f>
        <v/>
      </c>
    </row>
    <row r="547">
      <c r="A547" t="inlineStr">
        <is>
          <t>FOODS_3_780</t>
        </is>
      </c>
      <c r="B547" t="n">
        <v>1.781112253035109</v>
      </c>
      <c r="C547" t="n">
        <v>12.46778577124577</v>
      </c>
      <c r="D547" t="n">
        <v>13</v>
      </c>
      <c r="E547" s="15" t="n">
        <v>1</v>
      </c>
      <c r="F547">
        <f>C547+E547</f>
        <v/>
      </c>
      <c r="G547" t="n">
        <v>2.532214228754235</v>
      </c>
      <c r="H547" t="n">
        <v>65</v>
      </c>
      <c r="I547">
        <f>IF(H547=0,0,G547/H547)</f>
        <v/>
      </c>
      <c r="J547" t="n">
        <v>2</v>
      </c>
      <c r="K547" t="n">
        <v>5</v>
      </c>
      <c r="L547" t="n">
        <v>1</v>
      </c>
      <c r="M547" t="n">
        <v>5.812824026380446</v>
      </c>
      <c r="N547">
        <f>D547/2</f>
        <v/>
      </c>
      <c r="O547">
        <f>N547+E547</f>
        <v/>
      </c>
      <c r="P547">
        <f>I547&lt;0.05</f>
        <v/>
      </c>
    </row>
    <row r="548">
      <c r="A548" t="inlineStr">
        <is>
          <t>FOODS_3_782</t>
        </is>
      </c>
      <c r="B548" t="n">
        <v>5.135750177908467</v>
      </c>
      <c r="C548" t="n">
        <v>35.95025124535927</v>
      </c>
      <c r="D548" t="n">
        <v>36</v>
      </c>
      <c r="E548" s="15" t="n">
        <v>12</v>
      </c>
      <c r="F548">
        <f>C548+E548</f>
        <v/>
      </c>
      <c r="G548" t="n">
        <v>9.049748754640731</v>
      </c>
      <c r="H548" t="n">
        <v>188</v>
      </c>
      <c r="I548">
        <f>IF(H548=0,0,G548/H548)</f>
        <v/>
      </c>
      <c r="J548" t="n">
        <v>1</v>
      </c>
      <c r="K548" t="n">
        <v>5</v>
      </c>
      <c r="L548" t="n">
        <v>1</v>
      </c>
      <c r="M548" t="n">
        <v>22.94118807820252</v>
      </c>
      <c r="N548">
        <f>D548/2</f>
        <v/>
      </c>
      <c r="O548">
        <f>N548+E548</f>
        <v/>
      </c>
      <c r="P548">
        <f>I548&lt;0.05</f>
        <v/>
      </c>
    </row>
    <row r="549">
      <c r="A549" t="inlineStr">
        <is>
          <t>FOODS_3_783</t>
        </is>
      </c>
      <c r="B549" t="n">
        <v>3.01754806772587</v>
      </c>
      <c r="C549" t="n">
        <v>21.12283647408109</v>
      </c>
      <c r="D549" t="n">
        <v>22</v>
      </c>
      <c r="E549" s="15" t="n">
        <v>8</v>
      </c>
      <c r="F549">
        <f>C549+E549</f>
        <v/>
      </c>
      <c r="G549" t="n">
        <v>4.877163525918903</v>
      </c>
      <c r="H549" t="n">
        <v>101</v>
      </c>
      <c r="I549">
        <f>IF(H549=0,0,G549/H549)</f>
        <v/>
      </c>
      <c r="J549" t="n">
        <v>2</v>
      </c>
      <c r="K549" t="n">
        <v>5</v>
      </c>
      <c r="L549" t="n">
        <v>1</v>
      </c>
      <c r="M549" t="n">
        <v>17.57019227090349</v>
      </c>
      <c r="N549">
        <f>D549/2</f>
        <v/>
      </c>
      <c r="O549">
        <f>N549+E549</f>
        <v/>
      </c>
      <c r="P549">
        <f>I549&lt;0.05</f>
        <v/>
      </c>
    </row>
    <row r="550">
      <c r="A550" t="inlineStr">
        <is>
          <t>FOODS_3_785</t>
        </is>
      </c>
      <c r="B550" t="n">
        <v>2.11878075189491</v>
      </c>
      <c r="C550" t="n">
        <v>14.83146526326437</v>
      </c>
      <c r="D550" t="n">
        <v>15</v>
      </c>
      <c r="E550" s="15" t="n">
        <v>131</v>
      </c>
      <c r="F550">
        <f>C550+E550</f>
        <v/>
      </c>
      <c r="G550" t="n">
        <v>30.16853473673564</v>
      </c>
      <c r="H550" t="n">
        <v>608</v>
      </c>
      <c r="I550">
        <f>IF(H550=0,0,G550/H550)</f>
        <v/>
      </c>
      <c r="J550" t="n">
        <v>3</v>
      </c>
      <c r="K550" t="n">
        <v>25</v>
      </c>
      <c r="L550" t="n">
        <v>3</v>
      </c>
      <c r="M550" t="n">
        <v>24.32102827069951</v>
      </c>
      <c r="N550">
        <f>D550/2</f>
        <v/>
      </c>
      <c r="O550">
        <f>N550+E550</f>
        <v/>
      </c>
      <c r="P550">
        <f>I550&lt;0.05</f>
        <v/>
      </c>
    </row>
    <row r="551">
      <c r="A551" t="inlineStr">
        <is>
          <t>FOODS_3_787</t>
        </is>
      </c>
      <c r="B551" t="n">
        <v>1.917165254970053</v>
      </c>
      <c r="C551" t="n">
        <v>13.42015678479037</v>
      </c>
      <c r="D551" t="n">
        <v>14</v>
      </c>
      <c r="E551" s="15" t="n">
        <v>2</v>
      </c>
      <c r="F551">
        <f>C551+E551</f>
        <v/>
      </c>
      <c r="G551" t="n">
        <v>2.579843215209628</v>
      </c>
      <c r="H551" t="n">
        <v>53</v>
      </c>
      <c r="I551">
        <f>IF(H551=0,0,G551/H551)</f>
        <v/>
      </c>
      <c r="J551" t="n">
        <v>1</v>
      </c>
      <c r="K551" t="n">
        <v>4</v>
      </c>
      <c r="L551" t="n">
        <v>1</v>
      </c>
      <c r="M551" t="n">
        <v>9.452271644649235</v>
      </c>
      <c r="N551">
        <f>D551/2</f>
        <v/>
      </c>
      <c r="O551">
        <f>N551+E551</f>
        <v/>
      </c>
      <c r="P551">
        <f>I551&lt;0.05</f>
        <v/>
      </c>
    </row>
    <row r="552">
      <c r="A552" t="inlineStr">
        <is>
          <t>FOODS_3_788</t>
        </is>
      </c>
      <c r="B552" t="n">
        <v>2.977433152657364</v>
      </c>
      <c r="C552" t="n">
        <v>20.84203206860155</v>
      </c>
      <c r="D552" t="n">
        <v>21</v>
      </c>
      <c r="E552" s="15" t="n">
        <v>6</v>
      </c>
      <c r="F552">
        <f>C552+E552</f>
        <v/>
      </c>
      <c r="G552" t="n">
        <v>3.157967931398453</v>
      </c>
      <c r="H552" t="n">
        <v>77</v>
      </c>
      <c r="I552">
        <f>IF(H552=0,0,G552/H552)</f>
        <v/>
      </c>
      <c r="J552" t="n">
        <v>1</v>
      </c>
      <c r="K552" t="n">
        <v>4</v>
      </c>
      <c r="L552" t="n">
        <v>1</v>
      </c>
      <c r="M552" t="n">
        <v>18.03757830041462</v>
      </c>
      <c r="N552">
        <f>D552/2</f>
        <v/>
      </c>
      <c r="O552">
        <f>N552+E552</f>
        <v/>
      </c>
      <c r="P552">
        <f>I552&lt;0.05</f>
        <v/>
      </c>
    </row>
    <row r="553">
      <c r="A553" t="inlineStr">
        <is>
          <t>FOODS_3_789</t>
        </is>
      </c>
      <c r="B553" t="n">
        <v>11.85232634145681</v>
      </c>
      <c r="C553" t="n">
        <v>82.96628439019767</v>
      </c>
      <c r="D553" t="n">
        <v>83</v>
      </c>
      <c r="E553" s="15" t="n">
        <v>1</v>
      </c>
      <c r="F553">
        <f>C553+E553</f>
        <v/>
      </c>
      <c r="G553" t="n">
        <v>6.033715609802329</v>
      </c>
      <c r="H553" t="n">
        <v>361</v>
      </c>
      <c r="I553">
        <f>IF(H553=0,0,G553/H553)</f>
        <v/>
      </c>
      <c r="J553" t="n">
        <v>2</v>
      </c>
      <c r="K553" t="n">
        <v>5</v>
      </c>
      <c r="L553" t="n">
        <v>2</v>
      </c>
      <c r="M553" t="n">
        <v>38.24277522647093</v>
      </c>
      <c r="N553">
        <f>D553/2</f>
        <v/>
      </c>
      <c r="O553">
        <f>N553+E553</f>
        <v/>
      </c>
      <c r="P553">
        <f>I553&lt;0.05</f>
        <v/>
      </c>
    </row>
    <row r="554">
      <c r="A554" t="inlineStr">
        <is>
          <t>FOODS_3_792</t>
        </is>
      </c>
      <c r="B554" t="n">
        <v>3.055280246515985</v>
      </c>
      <c r="C554" t="n">
        <v>21.38696172561189</v>
      </c>
      <c r="D554" t="n">
        <v>22</v>
      </c>
      <c r="E554" s="15" t="n">
        <v>2</v>
      </c>
      <c r="F554">
        <f>C554+E554</f>
        <v/>
      </c>
      <c r="G554" t="n">
        <v>3.613038274388106</v>
      </c>
      <c r="H554" t="n">
        <v>82</v>
      </c>
      <c r="I554">
        <f>IF(H554=0,0,G554/H554)</f>
        <v/>
      </c>
      <c r="J554" t="n">
        <v>2</v>
      </c>
      <c r="K554" t="n">
        <v>4</v>
      </c>
      <c r="L554" t="n">
        <v>1</v>
      </c>
      <c r="M554" t="n">
        <v>14.85481459385927</v>
      </c>
      <c r="N554">
        <f>D554/2</f>
        <v/>
      </c>
      <c r="O554">
        <f>N554+E554</f>
        <v/>
      </c>
      <c r="P554">
        <f>I554&lt;0.05</f>
        <v/>
      </c>
    </row>
    <row r="555">
      <c r="A555" t="inlineStr">
        <is>
          <t>FOODS_3_793</t>
        </is>
      </c>
      <c r="B555" t="n">
        <v>3.732281997189085</v>
      </c>
      <c r="C555" t="n">
        <v>26.1259739803236</v>
      </c>
      <c r="D555" t="n">
        <v>27</v>
      </c>
      <c r="E555" s="15" t="n">
        <v>0</v>
      </c>
      <c r="F555">
        <f>C555+E555</f>
        <v/>
      </c>
      <c r="G555" t="n">
        <v>1.874026019676403</v>
      </c>
      <c r="H555" t="n">
        <v>101</v>
      </c>
      <c r="I555">
        <f>IF(H555=0,0,G555/H555)</f>
        <v/>
      </c>
      <c r="J555" t="n">
        <v>1</v>
      </c>
      <c r="K555" t="n">
        <v>4</v>
      </c>
      <c r="L555" t="n">
        <v>1</v>
      </c>
      <c r="M555" t="n">
        <v>14.70556585292648</v>
      </c>
      <c r="N555">
        <f>D555/2</f>
        <v/>
      </c>
      <c r="O555">
        <f>N555+E555</f>
        <v/>
      </c>
      <c r="P555">
        <f>I555&lt;0.05</f>
        <v/>
      </c>
    </row>
    <row r="556">
      <c r="A556" t="inlineStr">
        <is>
          <t>FOODS_3_795</t>
        </is>
      </c>
      <c r="B556" t="n">
        <v>4.557743687114227</v>
      </c>
      <c r="C556" t="n">
        <v>31.90420580979959</v>
      </c>
      <c r="D556" t="n">
        <v>32</v>
      </c>
      <c r="E556" s="15" t="n">
        <v>0</v>
      </c>
      <c r="F556">
        <f>C556+E556</f>
        <v/>
      </c>
      <c r="G556" t="n">
        <v>0.09579419020040802</v>
      </c>
      <c r="H556" t="n">
        <v>119</v>
      </c>
      <c r="I556">
        <f>IF(H556=0,0,G556/H556)</f>
        <v/>
      </c>
      <c r="J556" t="n">
        <v>1</v>
      </c>
      <c r="K556" t="n">
        <v>4</v>
      </c>
      <c r="L556" t="n">
        <v>1</v>
      </c>
      <c r="M556" t="n">
        <v>17.55090124495706</v>
      </c>
      <c r="N556">
        <f>D556/2</f>
        <v/>
      </c>
      <c r="O556">
        <f>N556+E556</f>
        <v/>
      </c>
      <c r="P556">
        <f>I556&lt;0.05</f>
        <v/>
      </c>
    </row>
    <row r="557">
      <c r="A557" t="inlineStr">
        <is>
          <t>FOODS_3_797</t>
        </is>
      </c>
      <c r="B557" t="n">
        <v>3.503807338909833</v>
      </c>
      <c r="C557" t="n">
        <v>24.52665137236883</v>
      </c>
      <c r="D557" t="n">
        <v>25</v>
      </c>
      <c r="E557" s="15" t="n">
        <v>4</v>
      </c>
      <c r="F557">
        <f>C557+E557</f>
        <v/>
      </c>
      <c r="G557" t="n">
        <v>4.473348627631172</v>
      </c>
      <c r="H557" t="n">
        <v>90</v>
      </c>
      <c r="I557">
        <f>IF(H557=0,0,G557/H557)</f>
        <v/>
      </c>
      <c r="J557" t="n">
        <v>1</v>
      </c>
      <c r="K557" t="n">
        <v>4</v>
      </c>
      <c r="L557" t="n">
        <v>1</v>
      </c>
      <c r="M557" t="n">
        <v>19.11285386550761</v>
      </c>
      <c r="N557">
        <f>D557/2</f>
        <v/>
      </c>
      <c r="O557">
        <f>N557+E557</f>
        <v/>
      </c>
      <c r="P557">
        <f>I557&lt;0.05</f>
        <v/>
      </c>
    </row>
    <row r="558">
      <c r="A558" t="inlineStr">
        <is>
          <t>FOODS_3_800</t>
        </is>
      </c>
      <c r="B558" t="n">
        <v>2.838409108974211</v>
      </c>
      <c r="C558" t="n">
        <v>19.86886376281948</v>
      </c>
      <c r="D558" t="n">
        <v>20</v>
      </c>
      <c r="E558" s="15" t="n">
        <v>0</v>
      </c>
      <c r="F558">
        <f>C558+E558</f>
        <v/>
      </c>
      <c r="G558" t="n">
        <v>1.131136237180524</v>
      </c>
      <c r="H558" t="n">
        <v>75</v>
      </c>
      <c r="I558">
        <f>IF(H558=0,0,G558/H558)</f>
        <v/>
      </c>
      <c r="J558" t="n">
        <v>1</v>
      </c>
      <c r="K558" t="n">
        <v>4</v>
      </c>
      <c r="L558" t="n">
        <v>1</v>
      </c>
      <c r="M558" t="n">
        <v>12.50410724221531</v>
      </c>
      <c r="N558">
        <f>D558/2</f>
        <v/>
      </c>
      <c r="O558">
        <f>N558+E558</f>
        <v/>
      </c>
      <c r="P558">
        <f>I558&lt;0.05</f>
        <v/>
      </c>
    </row>
    <row r="559">
      <c r="A559" t="inlineStr">
        <is>
          <t>FOODS_3_801</t>
        </is>
      </c>
      <c r="B559" t="n">
        <v>3.330475149106078</v>
      </c>
      <c r="C559" t="n">
        <v>23.31332604374254</v>
      </c>
      <c r="D559" t="n">
        <v>24</v>
      </c>
      <c r="E559" s="15" t="n">
        <v>3</v>
      </c>
      <c r="F559">
        <f>C559+E559</f>
        <v/>
      </c>
      <c r="G559" t="n">
        <v>4.686673956257458</v>
      </c>
      <c r="H559" t="n">
        <v>109</v>
      </c>
      <c r="I559">
        <f>IF(H559=0,0,G559/H559)</f>
        <v/>
      </c>
      <c r="J559" t="n">
        <v>1</v>
      </c>
      <c r="K559" t="n">
        <v>5</v>
      </c>
      <c r="L559" t="n">
        <v>1</v>
      </c>
      <c r="M559" t="n">
        <v>11.60975852030903</v>
      </c>
      <c r="N559">
        <f>D559/2</f>
        <v/>
      </c>
      <c r="O559">
        <f>N559+E559</f>
        <v/>
      </c>
      <c r="P559">
        <f>I559&lt;0.05</f>
        <v/>
      </c>
    </row>
    <row r="560">
      <c r="A560" t="inlineStr">
        <is>
          <t>FOODS_3_803</t>
        </is>
      </c>
      <c r="B560" t="n">
        <v>3.170143308264073</v>
      </c>
      <c r="C560" t="n">
        <v>22.19100315784851</v>
      </c>
      <c r="D560" t="n">
        <v>23</v>
      </c>
      <c r="E560" s="15" t="n">
        <v>0</v>
      </c>
      <c r="F560">
        <f>C560+E560</f>
        <v/>
      </c>
      <c r="G560" t="n">
        <v>3.808996842151487</v>
      </c>
      <c r="H560" t="n">
        <v>81</v>
      </c>
      <c r="I560">
        <f>IF(H560=0,0,G560/H560)</f>
        <v/>
      </c>
      <c r="J560" t="n">
        <v>1</v>
      </c>
      <c r="K560" t="n">
        <v>4</v>
      </c>
      <c r="L560" t="n">
        <v>1</v>
      </c>
      <c r="M560" t="n">
        <v>15.93378639096754</v>
      </c>
      <c r="N560">
        <f>D560/2</f>
        <v/>
      </c>
      <c r="O560">
        <f>N560+E560</f>
        <v/>
      </c>
      <c r="P560">
        <f>I560&lt;0.05</f>
        <v/>
      </c>
    </row>
    <row r="561">
      <c r="A561" t="inlineStr">
        <is>
          <t>FOODS_3_804</t>
        </is>
      </c>
      <c r="B561" t="n">
        <v>11.14944320711955</v>
      </c>
      <c r="C561" t="n">
        <v>78.04610244983687</v>
      </c>
      <c r="D561" t="n">
        <v>79</v>
      </c>
      <c r="E561" s="15" t="n">
        <v>2</v>
      </c>
      <c r="F561">
        <f>C561+E561</f>
        <v/>
      </c>
      <c r="G561" t="n">
        <v>15.95389755016313</v>
      </c>
      <c r="H561" t="n">
        <v>397</v>
      </c>
      <c r="I561">
        <f>IF(H561=0,0,G561/H561)</f>
        <v/>
      </c>
      <c r="J561" t="n">
        <v>3</v>
      </c>
      <c r="K561" t="n">
        <v>5</v>
      </c>
      <c r="L561" t="n">
        <v>3</v>
      </c>
      <c r="M561" t="n">
        <v>37.00987909639361</v>
      </c>
      <c r="N561">
        <f>D561/2</f>
        <v/>
      </c>
      <c r="O561">
        <f>N561+E561</f>
        <v/>
      </c>
      <c r="P561">
        <f>I561&lt;0.05</f>
        <v/>
      </c>
    </row>
    <row r="562">
      <c r="A562" t="inlineStr">
        <is>
          <t>FOODS_3_807</t>
        </is>
      </c>
      <c r="B562" t="n">
        <v>5.263499032328018</v>
      </c>
      <c r="C562" t="n">
        <v>36.84449322629612</v>
      </c>
      <c r="D562" t="n">
        <v>37</v>
      </c>
      <c r="E562" s="15" t="n">
        <v>0</v>
      </c>
      <c r="F562">
        <f>C562+E562</f>
        <v/>
      </c>
      <c r="G562" t="n">
        <v>0</v>
      </c>
      <c r="H562" t="n">
        <v>52</v>
      </c>
      <c r="I562">
        <f>IF(H562=0,0,G562/H562)</f>
        <v/>
      </c>
      <c r="J562" t="n">
        <v>0</v>
      </c>
      <c r="K562" t="n">
        <v>2</v>
      </c>
      <c r="L562" t="n">
        <v>0</v>
      </c>
      <c r="M562" t="n">
        <v>48.05877894058185</v>
      </c>
      <c r="N562">
        <f>D562/2</f>
        <v/>
      </c>
      <c r="O562">
        <f>N562+E562</f>
        <v/>
      </c>
      <c r="P562">
        <f>I562&lt;0.05</f>
        <v/>
      </c>
    </row>
    <row r="563">
      <c r="A563" t="inlineStr">
        <is>
          <t>FOODS_3_809</t>
        </is>
      </c>
      <c r="B563" t="n">
        <v>3.189647866862263</v>
      </c>
      <c r="C563" t="n">
        <v>22.32753506803584</v>
      </c>
      <c r="D563" t="n">
        <v>23</v>
      </c>
      <c r="E563" s="15" t="n">
        <v>19</v>
      </c>
      <c r="F563">
        <f>C563+E563</f>
        <v/>
      </c>
      <c r="G563" t="n">
        <v>4.672464931964157</v>
      </c>
      <c r="H563" t="n">
        <v>107</v>
      </c>
      <c r="I563">
        <f>IF(H563=0,0,G563/H563)</f>
        <v/>
      </c>
      <c r="J563" t="n">
        <v>1</v>
      </c>
      <c r="K563" t="n">
        <v>5</v>
      </c>
      <c r="L563" t="n">
        <v>1</v>
      </c>
      <c r="M563" t="n">
        <v>26.77091039116078</v>
      </c>
      <c r="N563">
        <f>D563/2</f>
        <v/>
      </c>
      <c r="O563">
        <f>N563+E563</f>
        <v/>
      </c>
      <c r="P563">
        <f>I563&lt;0.05</f>
        <v/>
      </c>
    </row>
    <row r="564">
      <c r="A564" t="inlineStr">
        <is>
          <t>FOODS_3_811</t>
        </is>
      </c>
      <c r="B564" t="n">
        <v>12.72521908881376</v>
      </c>
      <c r="C564" t="n">
        <v>89.07653362169629</v>
      </c>
      <c r="D564" t="n">
        <v>90</v>
      </c>
      <c r="E564" s="15" t="n">
        <v>8</v>
      </c>
      <c r="F564">
        <f>C564+E564</f>
        <v/>
      </c>
      <c r="G564" t="n">
        <v>19.92346637830371</v>
      </c>
      <c r="H564" t="n">
        <v>402</v>
      </c>
      <c r="I564">
        <f>IF(H564=0,0,G564/H564)</f>
        <v/>
      </c>
      <c r="J564" t="n">
        <v>2</v>
      </c>
      <c r="K564" t="n">
        <v>5</v>
      </c>
      <c r="L564" t="n">
        <v>2</v>
      </c>
      <c r="M564" t="n">
        <v>56.00801921239788</v>
      </c>
      <c r="N564">
        <f>D564/2</f>
        <v/>
      </c>
      <c r="O564">
        <f>N564+E564</f>
        <v/>
      </c>
      <c r="P564">
        <f>I564&lt;0.05</f>
        <v/>
      </c>
    </row>
    <row r="565">
      <c r="A565" t="inlineStr">
        <is>
          <t>FOODS_3_812</t>
        </is>
      </c>
      <c r="B565" t="n">
        <v>2.933049772202314</v>
      </c>
      <c r="C565" t="n">
        <v>20.5313484054162</v>
      </c>
      <c r="D565" t="n">
        <v>21</v>
      </c>
      <c r="E565" s="15" t="n">
        <v>1</v>
      </c>
      <c r="F565">
        <f>C565+E565</f>
        <v/>
      </c>
      <c r="G565" t="n">
        <v>4.468651594583804</v>
      </c>
      <c r="H565" t="n">
        <v>96</v>
      </c>
      <c r="I565">
        <f>IF(H565=0,0,G565/H565)</f>
        <v/>
      </c>
      <c r="J565" t="n">
        <v>3</v>
      </c>
      <c r="K565" t="n">
        <v>5</v>
      </c>
      <c r="L565" t="n">
        <v>1</v>
      </c>
      <c r="M565" t="n">
        <v>11.4687640579166</v>
      </c>
      <c r="N565">
        <f>D565/2</f>
        <v/>
      </c>
      <c r="O565">
        <f>N565+E565</f>
        <v/>
      </c>
      <c r="P565">
        <f>I565&lt;0.05</f>
        <v/>
      </c>
    </row>
    <row r="566">
      <c r="A566" t="inlineStr">
        <is>
          <t>FOODS_3_813</t>
        </is>
      </c>
      <c r="B566" t="n">
        <v>2.421052396160781</v>
      </c>
      <c r="C566" t="n">
        <v>16.94736677312547</v>
      </c>
      <c r="D566" t="n">
        <v>17</v>
      </c>
      <c r="E566" s="15" t="n">
        <v>4</v>
      </c>
      <c r="F566">
        <f>C566+E566</f>
        <v/>
      </c>
      <c r="G566" t="n">
        <v>3.05263322687453</v>
      </c>
      <c r="H566" t="n">
        <v>75</v>
      </c>
      <c r="I566">
        <f>IF(H566=0,0,G566/H566)</f>
        <v/>
      </c>
      <c r="J566" t="n">
        <v>1</v>
      </c>
      <c r="K566" t="n">
        <v>5</v>
      </c>
      <c r="L566" t="n">
        <v>1</v>
      </c>
      <c r="M566" t="n">
        <v>11.02443573709832</v>
      </c>
      <c r="N566">
        <f>D566/2</f>
        <v/>
      </c>
      <c r="O566">
        <f>N566+E566</f>
        <v/>
      </c>
      <c r="P566">
        <f>I566&lt;0.05</f>
        <v/>
      </c>
    </row>
    <row r="567">
      <c r="A567" t="inlineStr">
        <is>
          <t>FOODS_3_814</t>
        </is>
      </c>
      <c r="B567" t="n">
        <v>2.342466430814799</v>
      </c>
      <c r="C567" t="n">
        <v>16.3972650157036</v>
      </c>
      <c r="D567" t="n">
        <v>17</v>
      </c>
      <c r="E567" s="15" t="n">
        <v>8</v>
      </c>
      <c r="F567">
        <f>C567+E567</f>
        <v/>
      </c>
      <c r="G567" t="n">
        <v>4.602734984296404</v>
      </c>
      <c r="H567" t="n">
        <v>98</v>
      </c>
      <c r="I567">
        <f>IF(H567=0,0,G567/H567)</f>
        <v/>
      </c>
      <c r="J567" t="n">
        <v>2</v>
      </c>
      <c r="K567" t="n">
        <v>6</v>
      </c>
      <c r="L567" t="n">
        <v>1</v>
      </c>
      <c r="M567" t="n">
        <v>11.24951160994707</v>
      </c>
      <c r="N567">
        <f>D567/2</f>
        <v/>
      </c>
      <c r="O567">
        <f>N567+E567</f>
        <v/>
      </c>
      <c r="P567">
        <f>I567&lt;0.05</f>
        <v/>
      </c>
    </row>
    <row r="568">
      <c r="A568" t="inlineStr">
        <is>
          <t>FOODS_3_815</t>
        </is>
      </c>
      <c r="B568" t="n">
        <v>0.8834560474203704</v>
      </c>
      <c r="C568" t="n">
        <v>6.184192331942593</v>
      </c>
      <c r="D568" t="n">
        <v>7</v>
      </c>
      <c r="E568" s="15" t="n">
        <v>22</v>
      </c>
      <c r="F568">
        <f>C568+E568</f>
        <v/>
      </c>
      <c r="G568" t="n">
        <v>2.815807668057406</v>
      </c>
      <c r="H568" t="n">
        <v>74</v>
      </c>
      <c r="I568">
        <f>IF(H568=0,0,G568/H568)</f>
        <v/>
      </c>
      <c r="J568" t="n">
        <v>2</v>
      </c>
      <c r="K568" t="n">
        <v>6</v>
      </c>
      <c r="L568" t="n">
        <v>1</v>
      </c>
      <c r="M568" t="n">
        <v>15.1560137379959</v>
      </c>
      <c r="N568">
        <f>D568/2</f>
        <v/>
      </c>
      <c r="O568">
        <f>N568+E568</f>
        <v/>
      </c>
      <c r="P568">
        <f>I568&lt;0.05</f>
        <v/>
      </c>
    </row>
    <row r="569">
      <c r="A569" t="inlineStr">
        <is>
          <t>FOODS_3_816</t>
        </is>
      </c>
      <c r="B569" t="n">
        <v>7.342814067215258</v>
      </c>
      <c r="C569" t="n">
        <v>51.39969847050681</v>
      </c>
      <c r="D569" t="n">
        <v>52</v>
      </c>
      <c r="E569" s="15" t="n">
        <v>0</v>
      </c>
      <c r="F569">
        <f>C569+E569</f>
        <v/>
      </c>
      <c r="G569" t="n">
        <v>0</v>
      </c>
      <c r="H569" t="n">
        <v>128</v>
      </c>
      <c r="I569">
        <f>IF(H569=0,0,G569/H569)</f>
        <v/>
      </c>
      <c r="J569" t="n">
        <v>0</v>
      </c>
      <c r="K569" t="n">
        <v>3</v>
      </c>
      <c r="L569" t="n">
        <v>0</v>
      </c>
      <c r="M569" t="n">
        <v>44.86398418479251</v>
      </c>
      <c r="N569">
        <f>D569/2</f>
        <v/>
      </c>
      <c r="O569">
        <f>N569+E569</f>
        <v/>
      </c>
      <c r="P569">
        <f>I569&lt;0.05</f>
        <v/>
      </c>
    </row>
    <row r="570">
      <c r="A570" t="inlineStr">
        <is>
          <t>FOODS_3_818</t>
        </is>
      </c>
      <c r="B570" t="n">
        <v>3.98902951331219</v>
      </c>
      <c r="C570" t="n">
        <v>27.92320659318533</v>
      </c>
      <c r="D570" t="n">
        <v>28</v>
      </c>
      <c r="E570" s="15" t="n">
        <v>2</v>
      </c>
      <c r="F570">
        <f>C570+E570</f>
        <v/>
      </c>
      <c r="G570" t="n">
        <v>2.076793406814666</v>
      </c>
      <c r="H570" t="n">
        <v>55</v>
      </c>
      <c r="I570">
        <f>IF(H570=0,0,G570/H570)</f>
        <v/>
      </c>
      <c r="J570" t="n">
        <v>3</v>
      </c>
      <c r="K570" t="n">
        <v>2</v>
      </c>
      <c r="L570" t="n">
        <v>1</v>
      </c>
      <c r="M570" t="n">
        <v>31.16760094188362</v>
      </c>
      <c r="N570">
        <f>D570/2</f>
        <v/>
      </c>
      <c r="O570">
        <f>N570+E570</f>
        <v/>
      </c>
      <c r="P570">
        <f>I570&lt;0.05</f>
        <v/>
      </c>
    </row>
    <row r="571">
      <c r="A571" t="inlineStr">
        <is>
          <t>FOODS_3_819</t>
        </is>
      </c>
      <c r="B571" t="n">
        <v>1.354010133826927</v>
      </c>
      <c r="C571" t="n">
        <v>9.478070936788486</v>
      </c>
      <c r="D571" t="n">
        <v>10</v>
      </c>
      <c r="E571" s="15" t="n">
        <v>8</v>
      </c>
      <c r="F571">
        <f>C571+E571</f>
        <v/>
      </c>
      <c r="G571" t="n">
        <v>1.521929063211516</v>
      </c>
      <c r="H571" t="n">
        <v>49</v>
      </c>
      <c r="I571">
        <f>IF(H571=0,0,G571/H571)</f>
        <v/>
      </c>
      <c r="J571" t="n">
        <v>1</v>
      </c>
      <c r="K571" t="n">
        <v>5</v>
      </c>
      <c r="L571" t="n">
        <v>1</v>
      </c>
      <c r="M571" t="n">
        <v>10.56203040148078</v>
      </c>
      <c r="N571">
        <f>D571/2</f>
        <v/>
      </c>
      <c r="O571">
        <f>N571+E571</f>
        <v/>
      </c>
      <c r="P571">
        <f>I571&lt;0.05</f>
        <v/>
      </c>
    </row>
    <row r="572">
      <c r="A572" t="inlineStr">
        <is>
          <t>FOODS_3_820</t>
        </is>
      </c>
      <c r="B572" t="n">
        <v>1.811616145710478</v>
      </c>
      <c r="C572" t="n">
        <v>12.68131301997335</v>
      </c>
      <c r="D572" t="n">
        <v>13</v>
      </c>
      <c r="E572" s="15" t="n">
        <v>3</v>
      </c>
      <c r="F572">
        <f>C572+E572</f>
        <v/>
      </c>
      <c r="G572" t="n">
        <v>1.318686980026655</v>
      </c>
      <c r="H572" t="n">
        <v>62</v>
      </c>
      <c r="I572">
        <f>IF(H572=0,0,G572/H572)</f>
        <v/>
      </c>
      <c r="J572" t="n">
        <v>2</v>
      </c>
      <c r="K572" t="n">
        <v>5</v>
      </c>
      <c r="L572" t="n">
        <v>2</v>
      </c>
      <c r="M572" t="n">
        <v>7.280609616416196</v>
      </c>
      <c r="N572">
        <f>D572/2</f>
        <v/>
      </c>
      <c r="O572">
        <f>N572+E572</f>
        <v/>
      </c>
      <c r="P572">
        <f>I572&lt;0.05</f>
        <v/>
      </c>
    </row>
    <row r="573">
      <c r="A573" t="inlineStr">
        <is>
          <t>FOODS_3_822</t>
        </is>
      </c>
      <c r="B573" t="n">
        <v>4.076373870157191</v>
      </c>
      <c r="C573" t="n">
        <v>28.53461709110034</v>
      </c>
      <c r="D573" t="n">
        <v>29</v>
      </c>
      <c r="E573" s="15" t="n">
        <v>16</v>
      </c>
      <c r="F573">
        <f>C573+E573</f>
        <v/>
      </c>
      <c r="G573" t="n">
        <v>6.465382908899663</v>
      </c>
      <c r="H573" t="n">
        <v>142</v>
      </c>
      <c r="I573">
        <f>IF(H573=0,0,G573/H573)</f>
        <v/>
      </c>
      <c r="J573" t="n">
        <v>1</v>
      </c>
      <c r="K573" t="n">
        <v>5</v>
      </c>
      <c r="L573" t="n">
        <v>1</v>
      </c>
      <c r="M573" t="n">
        <v>25.3288465195215</v>
      </c>
      <c r="N573">
        <f>D573/2</f>
        <v/>
      </c>
      <c r="O573">
        <f>N573+E573</f>
        <v/>
      </c>
      <c r="P573">
        <f>I573&lt;0.05</f>
        <v/>
      </c>
    </row>
    <row r="574">
      <c r="A574" t="inlineStr">
        <is>
          <t>FOODS_3_823</t>
        </is>
      </c>
      <c r="B574" t="n">
        <v>1.574059693783834</v>
      </c>
      <c r="C574" t="n">
        <v>11.01841785648684</v>
      </c>
      <c r="D574" t="n">
        <v>12</v>
      </c>
      <c r="E574" s="15" t="n">
        <v>9</v>
      </c>
      <c r="F574">
        <f>C574+E574</f>
        <v/>
      </c>
      <c r="G574" t="n">
        <v>2.981582143513162</v>
      </c>
      <c r="H574" t="n">
        <v>74</v>
      </c>
      <c r="I574">
        <f>IF(H574=0,0,G574/H574)</f>
        <v/>
      </c>
      <c r="J574" t="n">
        <v>1</v>
      </c>
      <c r="K574" t="n">
        <v>6</v>
      </c>
      <c r="L574" t="n">
        <v>1</v>
      </c>
      <c r="M574" t="n">
        <v>8.78966096924718</v>
      </c>
      <c r="N574">
        <f>D574/2</f>
        <v/>
      </c>
      <c r="O574">
        <f>N574+E574</f>
        <v/>
      </c>
      <c r="P574">
        <f>I574&lt;0.05</f>
        <v/>
      </c>
    </row>
    <row r="575">
      <c r="A575" t="inlineStr">
        <is>
          <t>FOODS_3_825</t>
        </is>
      </c>
      <c r="B575" t="n">
        <v>2.228738486370601</v>
      </c>
      <c r="C575" t="n">
        <v>15.60116940459421</v>
      </c>
      <c r="D575" t="n">
        <v>16</v>
      </c>
      <c r="E575" s="15" t="n">
        <v>0</v>
      </c>
      <c r="F575">
        <f>C575+E575</f>
        <v/>
      </c>
      <c r="G575" t="n">
        <v>0.3988305954057907</v>
      </c>
      <c r="H575" t="n">
        <v>50</v>
      </c>
      <c r="I575">
        <f>IF(H575=0,0,G575/H575)</f>
        <v/>
      </c>
      <c r="J575" t="n">
        <v>1</v>
      </c>
      <c r="K575" t="n">
        <v>4</v>
      </c>
      <c r="L575" t="n">
        <v>1</v>
      </c>
      <c r="M575" t="n">
        <v>11.6362572235616</v>
      </c>
      <c r="N575">
        <f>D575/2</f>
        <v/>
      </c>
      <c r="O575">
        <f>N575+E575</f>
        <v/>
      </c>
      <c r="P575">
        <f>I575&lt;0.05</f>
        <v/>
      </c>
    </row>
    <row r="576">
      <c r="A576" t="inlineStr">
        <is>
          <t>FOODS_3_827</t>
        </is>
      </c>
      <c r="B576" t="n">
        <v>5.603192236629829</v>
      </c>
      <c r="C576" t="n">
        <v>39.2223456564088</v>
      </c>
      <c r="D576" t="n">
        <v>40</v>
      </c>
      <c r="E576" s="15" t="n">
        <v>0</v>
      </c>
      <c r="F576">
        <f>C576+E576</f>
        <v/>
      </c>
      <c r="G576" t="n">
        <v>0</v>
      </c>
      <c r="H576" t="n">
        <v>131</v>
      </c>
      <c r="I576">
        <f>IF(H576=0,0,G576/H576)</f>
        <v/>
      </c>
      <c r="J576" t="n">
        <v>0</v>
      </c>
      <c r="K576" t="n">
        <v>4</v>
      </c>
      <c r="L576" t="n">
        <v>0</v>
      </c>
      <c r="M576" t="n">
        <v>24.2223456564088</v>
      </c>
      <c r="N576">
        <f>D576/2</f>
        <v/>
      </c>
      <c r="O576">
        <f>N576+E576</f>
        <v/>
      </c>
      <c r="P576">
        <f>I576&lt;0.05</f>
        <v/>
      </c>
    </row>
  </sheetData>
  <autoFilter ref="A18:P576"/>
  <mergeCells count="2">
    <mergeCell ref="A1:P1"/>
    <mergeCell ref="A2:P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2026-09-30T00:05:15Z</dcterms:created>
  <dcterms:modified xmlns:dcterms="http://purl.org/dc/terms/" xmlns:xsi="http://www.w3.org/2001/XMLSchema-instance" xsi:type="dcterms:W3CDTF">2026-09-30T00:05:15Z</dcterms:modified>
</cp:coreProperties>
</file>